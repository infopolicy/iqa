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58AA3A05-F873-43E2-BDAD-F0C8E4B48EAF}" xr6:coauthVersionLast="47" xr6:coauthVersionMax="47" xr10:uidLastSave="{00000000-0000-0000-0000-000000000000}"/>
  <bookViews>
    <workbookView xWindow="-120" yWindow="-120" windowWidth="29040" windowHeight="15720" firstSheet="2" activeTab="19" xr2:uid="{7275623A-AD6D-410F-A905-5A05365876F9}"/>
  </bookViews>
  <sheets>
    <sheet name="FY06" sheetId="15" r:id="rId1"/>
    <sheet name="FY07" sheetId="16" r:id="rId2"/>
    <sheet name="FY08" sheetId="18" r:id="rId3"/>
    <sheet name="FY09" sheetId="2" r:id="rId4"/>
    <sheet name="FY10" sheetId="1" r:id="rId5"/>
    <sheet name="FY11" sheetId="4" r:id="rId6"/>
    <sheet name="FY12" sheetId="9" r:id="rId7"/>
    <sheet name="FY13" sheetId="7" r:id="rId8"/>
    <sheet name="FY14" sheetId="8" r:id="rId9"/>
    <sheet name="FY15" sheetId="20" r:id="rId10"/>
    <sheet name="FY16" sheetId="21" r:id="rId11"/>
    <sheet name="FY17" sheetId="13" r:id="rId12"/>
    <sheet name="FY18" sheetId="14" r:id="rId13"/>
    <sheet name="FY19" sheetId="22" r:id="rId14"/>
    <sheet name="FY20" sheetId="24" r:id="rId15"/>
    <sheet name="FY21" sheetId="28" r:id="rId16"/>
    <sheet name="FY22" sheetId="29" r:id="rId17"/>
    <sheet name="FY23" sheetId="30" r:id="rId18"/>
    <sheet name="FY24" sheetId="31" r:id="rId19"/>
    <sheet name="FY25" sheetId="32" r:id="rId20"/>
  </sheets>
  <definedNames>
    <definedName name="ExternalData_1" localSheetId="3" hidden="1">'FY09'!#REF!</definedName>
    <definedName name="ExternalData_1" localSheetId="4" hidden="1">'FY10'!#REF!</definedName>
    <definedName name="ExternalData_1" localSheetId="11" hidden="1">'FY17'!#REF!</definedName>
    <definedName name="ExternalData_1" localSheetId="12" hidden="1">'FY18'!#REF!</definedName>
    <definedName name="ExternalData_2" localSheetId="3" hidden="1">'FY09'!#REF!</definedName>
    <definedName name="ExternalData_3" localSheetId="0" hidden="1">'FY06'!#REF!</definedName>
    <definedName name="ExternalData_3" localSheetId="1" hidden="1">'FY07'!#REF!</definedName>
    <definedName name="ExternalData_3" localSheetId="2" hidden="1">'FY08'!#REF!</definedName>
    <definedName name="ExternalData_3" localSheetId="5" hidden="1">'FY11'!#REF!</definedName>
    <definedName name="ExternalData_4" localSheetId="1" hidden="1">'FY07'!#REF!</definedName>
    <definedName name="ExternalData_4" localSheetId="2" hidden="1">'FY08'!#REF!</definedName>
    <definedName name="ExternalData_4" localSheetId="7" hidden="1">'FY13'!#REF!</definedName>
    <definedName name="ExternalData_4" localSheetId="9" hidden="1">'FY15'!#REF!</definedName>
    <definedName name="ExternalData_5" localSheetId="8" hidden="1">'FY14'!#REF!</definedName>
    <definedName name="ExternalData_5" localSheetId="10" hidden="1">'FY16'!#REF!</definedName>
    <definedName name="ExternalData_6" localSheetId="6" hidden="1">'FY12'!#REF!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32" l="1"/>
  <c r="E3" i="32"/>
  <c r="E4" i="32"/>
  <c r="E5" i="32"/>
  <c r="E6" i="32"/>
  <c r="E7" i="32"/>
  <c r="E8" i="32"/>
  <c r="E9" i="32"/>
  <c r="E10" i="32"/>
  <c r="E12" i="32"/>
  <c r="E2" i="32"/>
  <c r="E12" i="28"/>
  <c r="E12" i="31"/>
  <c r="E11" i="31"/>
  <c r="E10" i="31"/>
  <c r="E9" i="31"/>
  <c r="E6" i="31"/>
  <c r="E5" i="31"/>
  <c r="E12" i="30"/>
  <c r="E12" i="29"/>
  <c r="E12" i="24"/>
  <c r="E12" i="22"/>
  <c r="E3" i="30" l="1"/>
  <c r="E4" i="30"/>
  <c r="E5" i="30"/>
  <c r="E6" i="30"/>
  <c r="E7" i="30"/>
  <c r="E8" i="30"/>
  <c r="E9" i="30"/>
  <c r="E10" i="30"/>
  <c r="E11" i="30"/>
  <c r="E2" i="30"/>
  <c r="K3" i="30"/>
  <c r="K4" i="30"/>
  <c r="K5" i="30"/>
  <c r="K6" i="30"/>
  <c r="K7" i="30"/>
  <c r="K8" i="30"/>
  <c r="K9" i="30"/>
  <c r="K10" i="30"/>
  <c r="K11" i="30"/>
  <c r="K2" i="30"/>
  <c r="H3" i="30"/>
  <c r="H4" i="30"/>
  <c r="H5" i="30"/>
  <c r="H6" i="30"/>
  <c r="H7" i="30"/>
  <c r="H8" i="30"/>
  <c r="H9" i="30"/>
  <c r="H10" i="30"/>
  <c r="H11" i="30"/>
  <c r="H2" i="30"/>
  <c r="E3" i="29"/>
  <c r="E4" i="29"/>
  <c r="E5" i="29"/>
  <c r="E6" i="29"/>
  <c r="E7" i="29"/>
  <c r="E8" i="29"/>
  <c r="E9" i="29"/>
  <c r="E10" i="29"/>
  <c r="E11" i="29"/>
  <c r="E2" i="29"/>
  <c r="K3" i="29"/>
  <c r="K4" i="29"/>
  <c r="K5" i="29"/>
  <c r="K6" i="29"/>
  <c r="K7" i="29"/>
  <c r="K8" i="29"/>
  <c r="K9" i="29"/>
  <c r="K10" i="29"/>
  <c r="K11" i="29"/>
  <c r="K2" i="29"/>
  <c r="H3" i="29"/>
  <c r="H4" i="29"/>
  <c r="H5" i="29"/>
  <c r="H6" i="29"/>
  <c r="H7" i="29"/>
  <c r="H8" i="29"/>
  <c r="H9" i="29"/>
  <c r="H10" i="29"/>
  <c r="H11" i="29"/>
  <c r="H2" i="29"/>
  <c r="H3" i="28"/>
  <c r="H4" i="28"/>
  <c r="H5" i="28"/>
  <c r="H6" i="28"/>
  <c r="H7" i="28"/>
  <c r="H8" i="28"/>
  <c r="H9" i="28"/>
  <c r="H10" i="28"/>
  <c r="H11" i="28"/>
  <c r="H2" i="28"/>
  <c r="E3" i="28"/>
  <c r="E4" i="28"/>
  <c r="E5" i="28"/>
  <c r="E6" i="28"/>
  <c r="E7" i="28"/>
  <c r="E8" i="28"/>
  <c r="E9" i="28"/>
  <c r="E10" i="28"/>
  <c r="E11" i="28"/>
  <c r="E2" i="28"/>
  <c r="H3" i="24"/>
  <c r="H4" i="24"/>
  <c r="H5" i="24"/>
  <c r="H6" i="24"/>
  <c r="H7" i="24"/>
  <c r="H8" i="24"/>
  <c r="H9" i="24"/>
  <c r="H10" i="24"/>
  <c r="H11" i="24"/>
  <c r="H2" i="24"/>
  <c r="H3" i="22"/>
  <c r="H4" i="22"/>
  <c r="H5" i="22"/>
  <c r="H6" i="22"/>
  <c r="H7" i="22"/>
  <c r="H8" i="22"/>
  <c r="H9" i="22"/>
  <c r="H10" i="22"/>
  <c r="H11" i="22"/>
  <c r="H2" i="22"/>
  <c r="E3" i="24"/>
  <c r="E4" i="24"/>
  <c r="E5" i="24"/>
  <c r="E6" i="24"/>
  <c r="E7" i="24"/>
  <c r="E8" i="24"/>
  <c r="E9" i="24"/>
  <c r="E10" i="24"/>
  <c r="E11" i="24"/>
  <c r="E2" i="24"/>
  <c r="E3" i="22"/>
  <c r="E4" i="22"/>
  <c r="E5" i="22"/>
  <c r="E6" i="22"/>
  <c r="E7" i="22"/>
  <c r="E8" i="22"/>
  <c r="E9" i="22"/>
  <c r="E10" i="22"/>
  <c r="E11" i="22"/>
  <c r="E2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49521B-56E0-4F97-9BBB-DBE09882A484}" keepAlive="1" name="Query - Table023 (Page 55)" description="Connection to the 'Table023 (Page 55)' query in the workbook." type="5" refreshedVersion="7" background="1" saveData="1">
    <dbPr connection="Provider=Microsoft.Mashup.OleDb.1;Data Source=$Workbook$;Location=&quot;Table023 (Page 55)&quot;;Extended Properties=&quot;&quot;" command="SELECT * FROM [Table023 (Page 55)]"/>
  </connection>
  <connection id="2" xr16:uid="{8CB3E2A1-32F3-4C61-8A5F-E6BE398F45E3}" keepAlive="1" name="Query - Table024 (Page 56)" description="Connection to the 'Table024 (Page 56)' query in the workbook." type="5" refreshedVersion="0" background="1">
    <dbPr connection="Provider=Microsoft.Mashup.OleDb.1;Data Source=$Workbook$;Location=&quot;Table024 (Page 56)&quot;;Extended Properties=&quot;&quot;" command="SELECT * FROM [Table024 (Page 56)]"/>
  </connection>
  <connection id="3" xr16:uid="{3FB46232-0BF0-4C16-93CA-9DC312DA5FAA}" keepAlive="1" name="Query - Table024 (Page 56) (2)" description="Connection to the 'Table024 (Page 56) (2)' query in the workbook." type="5" refreshedVersion="0" background="1">
    <dbPr connection="Provider=Microsoft.Mashup.OleDb.1;Data Source=$Workbook$;Location=&quot;Table024 (Page 56) (2)&quot;;Extended Properties=&quot;&quot;" command="SELECT * FROM [Table024 (Page 56) (2)]"/>
  </connection>
  <connection id="4" xr16:uid="{A3298C30-812A-426A-B5EF-45F20506A2D0}" keepAlive="1" name="Query - Table024 (Page 56) (3)" description="Connection to the 'Table024 (Page 56) (3)' query in the workbook." type="5" refreshedVersion="7" background="1" saveData="1">
    <dbPr connection="Provider=Microsoft.Mashup.OleDb.1;Data Source=$Workbook$;Location=&quot;Table024 (Page 56) (3)&quot;;Extended Properties=&quot;&quot;" command="SELECT * FROM [Table024 (Page 56) (3)]"/>
  </connection>
  <connection id="5" xr16:uid="{E3501DCA-DEBD-480A-815E-A4129BE8C8DB}" keepAlive="1" name="Query - Table024 (Page 58)" description="Connection to the 'Table024 (Page 58)' query in the workbook." type="5" refreshedVersion="7" background="1" saveData="1">
    <dbPr connection="Provider=Microsoft.Mashup.OleDb.1;Data Source=$Workbook$;Location=&quot;Table024 (Page 58)&quot;;Extended Properties=&quot;&quot;" command="SELECT * FROM [Table024 (Page 58)]"/>
  </connection>
  <connection id="6" xr16:uid="{4414E8E3-7F39-4AFB-B067-564596DB0456}" keepAlive="1" name="Query - Table026 (Page 65)" description="Connection to the 'Table026 (Page 65)' query in the workbook." type="5" refreshedVersion="7" background="1" saveData="1">
    <dbPr connection="Provider=Microsoft.Mashup.OleDb.1;Data Source=$Workbook$;Location=&quot;Table026 (Page 65)&quot;;Extended Properties=&quot;&quot;" command="SELECT * FROM [Table026 (Page 65)]"/>
  </connection>
  <connection id="7" xr16:uid="{6DBAA153-E52E-4A2F-85D1-565806600A66}" keepAlive="1" name="Query - Table027 (Page 41)" description="Connection to the 'Table027 (Page 41)' query in the workbook." type="5" refreshedVersion="7" background="1" saveData="1">
    <dbPr connection="Provider=Microsoft.Mashup.OleDb.1;Data Source=$Workbook$;Location=&quot;Table027 (Page 41)&quot;;Extended Properties=&quot;&quot;" command="SELECT * FROM [Table027 (Page 41)]"/>
  </connection>
  <connection id="8" xr16:uid="{02324DC2-3E9F-47D8-BF96-141728C9A88B}" keepAlive="1" name="Query - Table028 (Page 66)" description="Connection to the 'Table028 (Page 66)' query in the workbook." type="5" refreshedVersion="0" background="1">
    <dbPr connection="Provider=Microsoft.Mashup.OleDb.1;Data Source=$Workbook$;Location=&quot;Table028 (Page 66)&quot;;Extended Properties=&quot;&quot;" command="SELECT * FROM [Table028 (Page 66)]"/>
  </connection>
  <connection id="9" xr16:uid="{C7E8F6E7-19D0-4489-98D8-AE77D5EEFB63}" keepAlive="1" name="Query - Table028 (Page 66) (2)" description="Connection to the 'Table028 (Page 66) (2)' query in the workbook." type="5" refreshedVersion="7" background="1" saveData="1">
    <dbPr connection="Provider=Microsoft.Mashup.OleDb.1;Data Source=$Workbook$;Location=&quot;Table028 (Page 66) (2)&quot;;Extended Properties=&quot;&quot;" command="SELECT * FROM [Table028 (Page 66) (2)]"/>
  </connection>
  <connection id="10" xr16:uid="{39229BE9-9EBA-4590-B3CC-DD0424E87DFC}" keepAlive="1" name="Query - Table028 (Page 71)" description="Connection to the 'Table028 (Page 71)' query in the workbook." type="5" refreshedVersion="7" background="1" saveData="1">
    <dbPr connection="Provider=Microsoft.Mashup.OleDb.1;Data Source=$Workbook$;Location=&quot;Table028 (Page 71)&quot;;Extended Properties=&quot;&quot;" command="SELECT * FROM [Table028 (Page 71)]"/>
  </connection>
  <connection id="11" xr16:uid="{E2BD1436-CEDE-4C41-823C-CE114AF6EADE}" keepAlive="1" name="Query - Table029 (Page 42)" description="Connection to the 'Table029 (Page 42)' query in the workbook." type="5" refreshedVersion="7" background="1" saveData="1">
    <dbPr connection="Provider=Microsoft.Mashup.OleDb.1;Data Source=$Workbook$;Location=&quot;Table029 (Page 42)&quot;;Extended Properties=&quot;&quot;" command="SELECT * FROM [Table029 (Page 42)]"/>
  </connection>
  <connection id="12" xr16:uid="{2EAB90F6-0157-4B88-9421-B2B4AE0CAACC}" keepAlive="1" name="Query - Table029 (Page 72)" description="Connection to the 'Table029 (Page 72)' query in the workbook." type="5" refreshedVersion="7" background="1" saveData="1">
    <dbPr connection="Provider=Microsoft.Mashup.OleDb.1;Data Source=$Workbook$;Location=&quot;Table029 (Page 72)&quot;;Extended Properties=&quot;&quot;" command="SELECT * FROM [Table029 (Page 72)]"/>
  </connection>
  <connection id="13" xr16:uid="{FE9DD3AA-76D3-4415-87F5-4B6632573130}" keepAlive="1" name="Query - Table031 (Page 66)" description="Connection to the 'Table031 (Page 66)' query in the workbook." type="5" refreshedVersion="7" background="1" saveData="1">
    <dbPr connection="Provider=Microsoft.Mashup.OleDb.1;Data Source=$Workbook$;Location=&quot;Table031 (Page 66)&quot;;Extended Properties=&quot;&quot;" command="SELECT * FROM [Table031 (Page 66)]"/>
  </connection>
  <connection id="14" xr16:uid="{C4AC06F8-A222-43EC-AA84-184CD6F1499D}" keepAlive="1" name="Query - Table031 (Page 72)" description="Connection to the 'Table031 (Page 72)' query in the workbook." type="5" refreshedVersion="7" background="1" saveData="1">
    <dbPr connection="Provider=Microsoft.Mashup.OleDb.1;Data Source=$Workbook$;Location=&quot;Table031 (Page 72)&quot;;Extended Properties=&quot;&quot;" command="SELECT * FROM [Table031 (Page 72)]"/>
  </connection>
  <connection id="15" xr16:uid="{EBF0E996-0217-4C38-BA9B-AF092129D90E}" keepAlive="1" name="Query - Table032 (Page 71)" description="Connection to the 'Table032 (Page 71)' query in the workbook." type="5" refreshedVersion="7" background="1" saveData="1">
    <dbPr connection="Provider=Microsoft.Mashup.OleDb.1;Data Source=$Workbook$;Location=&quot;Table032 (Page 71)&quot;;Extended Properties=&quot;&quot;" command="SELECT * FROM [Table032 (Page 71)]"/>
  </connection>
  <connection id="16" xr16:uid="{F8DF1EAA-AC33-4FF2-A4E5-FFF1D1271CCD}" keepAlive="1" name="Query - Table032 (Page 91)" description="Connection to the 'Table032 (Page 91)' query in the workbook." type="5" refreshedVersion="7" background="1" saveData="1">
    <dbPr connection="Provider=Microsoft.Mashup.OleDb.1;Data Source=$Workbook$;Location=&quot;Table032 (Page 91)&quot;;Extended Properties=&quot;&quot;" command="SELECT * FROM [Table032 (Page 91)]"/>
  </connection>
  <connection id="17" xr16:uid="{2C346AF5-C18D-4E9F-8A98-4E1F2FF9E9F5}" keepAlive="1" name="Query - Table032 (Page 91) (2)" description="Connection to the 'Table032 (Page 91) (2)' query in the workbook." type="5" refreshedVersion="7" background="1" saveData="1">
    <dbPr connection="Provider=Microsoft.Mashup.OleDb.1;Data Source=$Workbook$;Location=&quot;Table032 (Page 91) (2)&quot;;Extended Properties=&quot;&quot;" command="SELECT * FROM [Table032 (Page 91) (2)]"/>
  </connection>
  <connection id="18" xr16:uid="{464A14CA-2468-48B6-8778-3BBE5A932C81}" keepAlive="1" name="Query - Table033 (Page 67-68)" description="Connection to the 'Table033 (Page 67-68)' query in the workbook." type="5" refreshedVersion="7" background="1" saveData="1">
    <dbPr connection="Provider=Microsoft.Mashup.OleDb.1;Data Source=$Workbook$;Location=&quot;Table033 (Page 67-68)&quot;;Extended Properties=&quot;&quot;" command="SELECT * FROM [Table033 (Page 67-68)]"/>
  </connection>
  <connection id="19" xr16:uid="{C8D3E891-DF1C-416A-A9B0-90AD2569F5CD}" keepAlive="1" name="Query - Table036 (Page 76)" description="Connection to the 'Table036 (Page 76)' query in the workbook." type="5" refreshedVersion="0" background="1">
    <dbPr connection="Provider=Microsoft.Mashup.OleDb.1;Data Source=$Workbook$;Location=&quot;Table036 (Page 76)&quot;;Extended Properties=&quot;&quot;" command="SELECT * FROM [Table036 (Page 76)]"/>
  </connection>
  <connection id="20" xr16:uid="{5D944838-9C61-488B-89EA-31C4DFC22FA4}" keepAlive="1" name="Query - Table036 (Page 76) (2)" description="Connection to the 'Table036 (Page 76) (2)' query in the workbook." type="5" refreshedVersion="7" background="1" saveData="1">
    <dbPr connection="Provider=Microsoft.Mashup.OleDb.1;Data Source=$Workbook$;Location=&quot;Table036 (Page 76) (2)&quot;;Extended Properties=&quot;&quot;" command="SELECT * FROM [Table036 (Page 76) (2)]"/>
  </connection>
  <connection id="21" xr16:uid="{5478E314-31D3-4D74-8B23-67D71A6EE163}" keepAlive="1" name="Query - Table060 (Page 97)" description="Connection to the 'Table060 (Page 97)' query in the workbook." type="5" refreshedVersion="7" background="1" saveData="1">
    <dbPr connection="Provider=Microsoft.Mashup.OleDb.1;Data Source=$Workbook$;Location=&quot;Table060 (Page 97)&quot;;Extended Properties=&quot;&quot;" command="SELECT * FROM [Table060 (Page 97)]"/>
  </connection>
</connections>
</file>

<file path=xl/sharedStrings.xml><?xml version="1.0" encoding="utf-8"?>
<sst xmlns="http://schemas.openxmlformats.org/spreadsheetml/2006/main" count="1057" uniqueCount="134">
  <si>
    <t>None</t>
  </si>
  <si>
    <t>7 (Waiver)</t>
  </si>
  <si>
    <t>Agency1</t>
  </si>
  <si>
    <t>Agency2</t>
  </si>
  <si>
    <t>Food Safety Inspection Service</t>
  </si>
  <si>
    <t>Agency3</t>
  </si>
  <si>
    <t>Agricultural Research Service</t>
  </si>
  <si>
    <t>Agency4</t>
  </si>
  <si>
    <t>Agency5</t>
  </si>
  <si>
    <t>Economic Research Service</t>
  </si>
  <si>
    <t>the Forest Service</t>
  </si>
  <si>
    <t>Agency6</t>
  </si>
  <si>
    <t>Office of the Chief Economist</t>
  </si>
  <si>
    <t>National Oceanic and Atmopheric Adminstration</t>
  </si>
  <si>
    <t>Climate Change Science Program</t>
  </si>
  <si>
    <t>Centers for Disease Control and Prevention</t>
  </si>
  <si>
    <t>Food and Drug Administration</t>
  </si>
  <si>
    <t>National Institute for Environmental Health Sciences</t>
  </si>
  <si>
    <t>Office of Public Health Science</t>
  </si>
  <si>
    <t>Fish and Wildlife Service</t>
  </si>
  <si>
    <t>National Park Service</t>
  </si>
  <si>
    <t>Occupational Health and Safety Administration</t>
  </si>
  <si>
    <t>Federal Aviation Administration</t>
  </si>
  <si>
    <t>National Highway and Traffic Safety Administration</t>
  </si>
  <si>
    <t>National Oceanic and Atmospheric Administration</t>
  </si>
  <si>
    <t>Energy Efficiency and Renewable Programs</t>
  </si>
  <si>
    <t>Vehicle Technologies Program</t>
  </si>
  <si>
    <t>Geological Survey</t>
  </si>
  <si>
    <t>Mine Safety and Health Administration</t>
  </si>
  <si>
    <t>Federal Highway Administration</t>
  </si>
  <si>
    <t>Federal Motor Carrier Safety Administration</t>
  </si>
  <si>
    <t>4 (Waiver)</t>
  </si>
  <si>
    <t>Animal and Plant Health Inspection Service</t>
  </si>
  <si>
    <t>Center for Nutrition Policy and Promotion</t>
  </si>
  <si>
    <t>Food and Nutrition Service</t>
  </si>
  <si>
    <t>Agency7</t>
  </si>
  <si>
    <t>Agency8</t>
  </si>
  <si>
    <t>Forest Service</t>
  </si>
  <si>
    <t>Energy Efficiency and Renewable Energy Biomass Program</t>
  </si>
  <si>
    <t>National Toxicology Program</t>
  </si>
  <si>
    <t>Bureau of Ocean Energy Management</t>
  </si>
  <si>
    <t>Bureau of Ocean Energy Management, Regulation, and Enforcement</t>
  </si>
  <si>
    <t>National Highway Traffic Safety Administration</t>
  </si>
  <si>
    <t>8 (Waiver)</t>
  </si>
  <si>
    <t>National Toxicology Program at the National Institute for Environmental Health Sciences</t>
  </si>
  <si>
    <t>5 (Waiver)</t>
  </si>
  <si>
    <t>Department of Agriculture</t>
  </si>
  <si>
    <t>Department of Commerce</t>
  </si>
  <si>
    <t>Department of Energy</t>
  </si>
  <si>
    <t>Department of the Interior</t>
  </si>
  <si>
    <t>National Institutes of Health</t>
  </si>
  <si>
    <t>Bureau of Reclamation</t>
  </si>
  <si>
    <t>Bureau of Safety and Environmental Enforcement</t>
  </si>
  <si>
    <t>1</t>
  </si>
  <si>
    <t>NA</t>
  </si>
  <si>
    <t>1 (Waiver)</t>
  </si>
  <si>
    <t>4</t>
  </si>
  <si>
    <t>National Transportation Safety Administration</t>
  </si>
  <si>
    <t>Aegncy3</t>
  </si>
  <si>
    <t>Agecy5</t>
  </si>
  <si>
    <t xml:space="preserve"> Economic Research Service</t>
  </si>
  <si>
    <t xml:space="preserve"> Grain Inspection</t>
  </si>
  <si>
    <t>Packers and Stockyards Administration</t>
  </si>
  <si>
    <t>Climate change science program</t>
  </si>
  <si>
    <t>climate change science program</t>
  </si>
  <si>
    <t>Executive Office for US Trustees</t>
  </si>
  <si>
    <t>U.S. Geological Survey</t>
  </si>
  <si>
    <t>9 (Waivers)</t>
  </si>
  <si>
    <t>Department of Transportation</t>
  </si>
  <si>
    <t>Office of the Assistant Secretary for Health</t>
  </si>
  <si>
    <t>National
Toxicology Program at the National Institute for Environmental Health Sciences</t>
  </si>
  <si>
    <t>Bureau of Safety and
Environmental Enforcement</t>
  </si>
  <si>
    <t>Federal Motor Carrier
Safety Administration</t>
  </si>
  <si>
    <t>Food and Drug
Administration</t>
  </si>
  <si>
    <t>Federal Communication Commission</t>
  </si>
  <si>
    <t>Total Peer Reviews Completed</t>
  </si>
  <si>
    <t>Reviews of HISA</t>
  </si>
  <si>
    <t>Waivers, Deferrals, or Exemptions</t>
  </si>
  <si>
    <t>Potential Reviewer Conflicts</t>
  </si>
  <si>
    <t>Reviews w/Public Meetings</t>
  </si>
  <si>
    <t>Public Comments on Agenda</t>
  </si>
  <si>
    <t>Department of Health and Human Services</t>
  </si>
  <si>
    <t>Department of Labor</t>
  </si>
  <si>
    <t>Federal Communications Commission</t>
  </si>
  <si>
    <t>Environmental Protection Agency</t>
  </si>
  <si>
    <t>Department of Defense</t>
  </si>
  <si>
    <t>Department of Justice</t>
  </si>
  <si>
    <t>Consumer Product Safety Commission</t>
  </si>
  <si>
    <t>National Aeronautics and Space Administration</t>
  </si>
  <si>
    <t>Small Business Administration</t>
  </si>
  <si>
    <t>Consumer Products Safety Commission</t>
  </si>
  <si>
    <t>Agency9</t>
  </si>
  <si>
    <t>Reviews of ISI</t>
  </si>
  <si>
    <t>Reclamation</t>
  </si>
  <si>
    <t>Waivers, Deferrals, or Exemptions (ISI)</t>
  </si>
  <si>
    <t>Waivers, Deferrals, or Exemptions (HISA)</t>
  </si>
  <si>
    <t>Potential Reviewer Conflicts (HISA)</t>
  </si>
  <si>
    <t>Potential Reviewer Conflicts (ISI)</t>
  </si>
  <si>
    <t xml:space="preserve">Potential Reviewer Conflicts </t>
  </si>
  <si>
    <t>Department of State</t>
  </si>
  <si>
    <t>Veterans Administration</t>
  </si>
  <si>
    <t>Consumer Financial Protection Bureau</t>
  </si>
  <si>
    <t>Agency (abbrv.)</t>
  </si>
  <si>
    <t>USDA</t>
  </si>
  <si>
    <t>DOD</t>
  </si>
  <si>
    <t>DOE</t>
  </si>
  <si>
    <t>DOC</t>
  </si>
  <si>
    <t>HHS</t>
  </si>
  <si>
    <t>DOI</t>
  </si>
  <si>
    <t>DOL</t>
  </si>
  <si>
    <t>DOT</t>
  </si>
  <si>
    <t>CPSC</t>
  </si>
  <si>
    <t>EPA</t>
  </si>
  <si>
    <t>FCC</t>
  </si>
  <si>
    <t>DOJ</t>
  </si>
  <si>
    <t>NASA</t>
  </si>
  <si>
    <t>SBA</t>
  </si>
  <si>
    <t>VA</t>
  </si>
  <si>
    <t>CFPB</t>
  </si>
  <si>
    <t>STATE</t>
  </si>
  <si>
    <t>Agency</t>
  </si>
  <si>
    <t>Army Corps of Engineers</t>
  </si>
  <si>
    <t>Institute for Environmental Health Sciences</t>
  </si>
  <si>
    <t>Motor Carrier Association</t>
  </si>
  <si>
    <t>Bureau of Safety and Environmental Enforcement
Environmental Enforcement</t>
  </si>
  <si>
    <t>National Toxicology Program
Environmental Health Sciences</t>
  </si>
  <si>
    <t>Grid Deployment Office</t>
  </si>
  <si>
    <t>Agency10</t>
  </si>
  <si>
    <t>Food Safety and Inspection Service</t>
  </si>
  <si>
    <t>United States Agency for International Development</t>
  </si>
  <si>
    <t xml:space="preserve">Bureau of Safety and Environmental Enforcement </t>
  </si>
  <si>
    <t>United States Geological Survey</t>
  </si>
  <si>
    <t>Western Area Power Administration (WAPA)</t>
  </si>
  <si>
    <t>National Oceanic and Atmospheric Administration (NOAA)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</si>
</sst>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0" fillId="0" borderId="0" xfId="0" applyNumberFormat="1" applyFont="1" applyFill="1" applyBorder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NumberFormat="1" applyFont="1" applyFill="1" applyBorder="1"/>
    <xf numFmtId="0" fontId="2" fillId="0" borderId="0" xfId="1"/>
    <xf numFmtId="0" fontId="2" fillId="0" borderId="0" xfId="1" applyFill="1"/>
    <xf numFmtId="0" fontId="2" fillId="0" borderId="0" xfId="2" applyFont="1"/>
  </cellXfs>
  <cellStyles count="3">
    <cellStyle name="Normal" xfId="0" builtinId="0"/>
    <cellStyle name="Normal_FY24" xfId="1" xr:uid="{5D0706CB-5128-4252-B37D-B6524F79CB82}"/>
    <cellStyle name="Normal_FY25" xfId="2" xr:uid="{13C51458-8031-4D0D-9CE3-430E0223D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gs.gov/office-of-science-quality-and-integrity/fundamental-science-practices/information-quality-usgs-peer-review-agenda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gs.gov/office-of-science-quality-and-integrity/fundamental-science-practices/information-quality-usgs-peer-review-age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497B-799D-4688-A579-18B5908B8ABA}">
  <dimension ref="A1:L12"/>
  <sheetViews>
    <sheetView topLeftCell="D1" workbookViewId="0">
      <selection activeCell="F21" sqref="F21"/>
    </sheetView>
  </sheetViews>
  <sheetFormatPr defaultRowHeight="15" x14ac:dyDescent="0.25"/>
  <cols>
    <col min="1" max="1" width="45.42578125" bestFit="1" customWidth="1"/>
    <col min="2" max="2" width="45.4257812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  <col min="7" max="7" width="30.28515625" bestFit="1" customWidth="1"/>
    <col min="8" max="8" width="30.5703125" bestFit="1" customWidth="1"/>
  </cols>
  <sheetData>
    <row r="1" spans="1:12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2</v>
      </c>
      <c r="J1" t="s">
        <v>3</v>
      </c>
      <c r="K1" t="s">
        <v>5</v>
      </c>
      <c r="L1" t="s">
        <v>7</v>
      </c>
    </row>
    <row r="2" spans="1:12" x14ac:dyDescent="0.25">
      <c r="A2" t="s">
        <v>46</v>
      </c>
      <c r="B2" t="s">
        <v>103</v>
      </c>
      <c r="C2">
        <v>19</v>
      </c>
      <c r="D2" s="2">
        <v>8</v>
      </c>
      <c r="E2" t="s">
        <v>0</v>
      </c>
      <c r="F2" t="s">
        <v>0</v>
      </c>
      <c r="G2" t="s">
        <v>0</v>
      </c>
      <c r="H2" s="2">
        <v>3</v>
      </c>
      <c r="I2" t="s">
        <v>32</v>
      </c>
      <c r="J2" t="s">
        <v>4</v>
      </c>
    </row>
    <row r="3" spans="1:12" x14ac:dyDescent="0.25">
      <c r="A3" t="s">
        <v>47</v>
      </c>
      <c r="B3" t="s">
        <v>106</v>
      </c>
      <c r="C3">
        <v>19</v>
      </c>
      <c r="D3" s="2">
        <v>3</v>
      </c>
      <c r="E3" t="s">
        <v>0</v>
      </c>
      <c r="F3" t="s">
        <v>0</v>
      </c>
      <c r="G3">
        <v>6</v>
      </c>
      <c r="H3" t="s">
        <v>0</v>
      </c>
      <c r="I3" t="s">
        <v>24</v>
      </c>
    </row>
    <row r="4" spans="1:12" x14ac:dyDescent="0.25">
      <c r="A4" t="s">
        <v>85</v>
      </c>
      <c r="B4" t="s">
        <v>104</v>
      </c>
      <c r="C4">
        <v>2</v>
      </c>
      <c r="D4" s="2">
        <v>2</v>
      </c>
      <c r="E4" t="s">
        <v>0</v>
      </c>
      <c r="F4" t="s">
        <v>0</v>
      </c>
      <c r="G4" s="2">
        <v>1</v>
      </c>
      <c r="H4" t="s">
        <v>54</v>
      </c>
      <c r="I4" t="s">
        <v>121</v>
      </c>
    </row>
    <row r="5" spans="1:12" x14ac:dyDescent="0.25">
      <c r="A5" t="s">
        <v>48</v>
      </c>
      <c r="B5" t="s">
        <v>105</v>
      </c>
      <c r="C5">
        <v>1</v>
      </c>
      <c r="D5" s="2">
        <v>1</v>
      </c>
      <c r="E5" t="s">
        <v>0</v>
      </c>
      <c r="F5" t="s">
        <v>0</v>
      </c>
      <c r="G5" s="2">
        <v>1</v>
      </c>
      <c r="H5" t="s">
        <v>0</v>
      </c>
    </row>
    <row r="6" spans="1:12" x14ac:dyDescent="0.25">
      <c r="A6" t="s">
        <v>81</v>
      </c>
      <c r="B6" t="s">
        <v>107</v>
      </c>
      <c r="C6">
        <v>31</v>
      </c>
      <c r="D6" s="2">
        <v>6</v>
      </c>
      <c r="E6" t="s">
        <v>0</v>
      </c>
      <c r="F6" t="s">
        <v>0</v>
      </c>
      <c r="G6" s="2">
        <v>3</v>
      </c>
      <c r="H6" s="2">
        <v>1</v>
      </c>
      <c r="I6" t="s">
        <v>15</v>
      </c>
      <c r="J6" t="s">
        <v>16</v>
      </c>
      <c r="K6" t="s">
        <v>39</v>
      </c>
      <c r="L6" t="s">
        <v>17</v>
      </c>
    </row>
    <row r="7" spans="1:12" x14ac:dyDescent="0.25">
      <c r="A7" t="s">
        <v>49</v>
      </c>
      <c r="B7" t="s">
        <v>108</v>
      </c>
      <c r="C7">
        <v>51</v>
      </c>
      <c r="D7" s="2">
        <v>1</v>
      </c>
      <c r="E7" t="s">
        <v>55</v>
      </c>
      <c r="F7" s="2">
        <v>4</v>
      </c>
      <c r="G7" s="2">
        <v>1</v>
      </c>
      <c r="H7" s="2">
        <v>1</v>
      </c>
      <c r="I7" t="s">
        <v>19</v>
      </c>
    </row>
    <row r="8" spans="1:12" x14ac:dyDescent="0.25">
      <c r="A8" t="s">
        <v>82</v>
      </c>
      <c r="B8" t="s">
        <v>109</v>
      </c>
      <c r="C8">
        <v>2</v>
      </c>
      <c r="D8" s="2">
        <v>1</v>
      </c>
      <c r="E8" t="s">
        <v>0</v>
      </c>
      <c r="F8" t="s">
        <v>0</v>
      </c>
      <c r="G8" t="s">
        <v>0</v>
      </c>
      <c r="H8" t="s">
        <v>0</v>
      </c>
    </row>
    <row r="9" spans="1:12" x14ac:dyDescent="0.25">
      <c r="A9" t="s">
        <v>68</v>
      </c>
      <c r="B9" t="s">
        <v>110</v>
      </c>
      <c r="C9">
        <v>12</v>
      </c>
      <c r="D9" s="2">
        <v>5</v>
      </c>
      <c r="E9" t="s">
        <v>0</v>
      </c>
      <c r="F9" t="s">
        <v>0</v>
      </c>
      <c r="G9" t="s">
        <v>0</v>
      </c>
      <c r="H9" s="2">
        <v>1</v>
      </c>
      <c r="I9" t="s">
        <v>22</v>
      </c>
      <c r="J9" t="s">
        <v>57</v>
      </c>
      <c r="K9" t="s">
        <v>29</v>
      </c>
      <c r="L9" t="s">
        <v>30</v>
      </c>
    </row>
    <row r="10" spans="1:12" x14ac:dyDescent="0.25">
      <c r="A10" t="s">
        <v>87</v>
      </c>
      <c r="B10" t="s">
        <v>111</v>
      </c>
      <c r="C10">
        <v>4</v>
      </c>
      <c r="D10" s="2">
        <v>3</v>
      </c>
      <c r="E10" t="s">
        <v>0</v>
      </c>
      <c r="F10" t="s">
        <v>0</v>
      </c>
      <c r="G10" t="s">
        <v>0</v>
      </c>
      <c r="H10" t="s">
        <v>0</v>
      </c>
    </row>
    <row r="11" spans="1:12" x14ac:dyDescent="0.25">
      <c r="A11" t="s">
        <v>84</v>
      </c>
      <c r="B11" t="s">
        <v>112</v>
      </c>
      <c r="C11">
        <v>15</v>
      </c>
      <c r="D11" s="2">
        <v>4</v>
      </c>
      <c r="E11" t="s">
        <v>0</v>
      </c>
      <c r="F11" t="s">
        <v>0</v>
      </c>
      <c r="G11" s="2">
        <v>7</v>
      </c>
      <c r="H11" s="2">
        <v>3</v>
      </c>
    </row>
    <row r="12" spans="1:12" x14ac:dyDescent="0.25">
      <c r="A12" t="s">
        <v>83</v>
      </c>
      <c r="B12" t="s">
        <v>113</v>
      </c>
      <c r="C12">
        <v>3</v>
      </c>
      <c r="D12">
        <v>0</v>
      </c>
      <c r="E12" t="s">
        <v>0</v>
      </c>
      <c r="F12" t="s">
        <v>0</v>
      </c>
      <c r="G12" t="s">
        <v>0</v>
      </c>
      <c r="H1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1815-3AE6-4116-A3F8-8993523052B3}">
  <dimension ref="A1:O14"/>
  <sheetViews>
    <sheetView workbookViewId="0">
      <selection activeCell="I14" sqref="I14"/>
    </sheetView>
  </sheetViews>
  <sheetFormatPr defaultRowHeight="15" x14ac:dyDescent="0.25"/>
  <cols>
    <col min="1" max="1" width="48.42578125" bestFit="1" customWidth="1"/>
    <col min="2" max="2" width="45.42578125" customWidth="1"/>
    <col min="3" max="3" width="32.5703125" bestFit="1" customWidth="1"/>
    <col min="4" max="4" width="17.28515625" customWidth="1"/>
    <col min="5" max="5" width="53.42578125" bestFit="1" customWidth="1"/>
    <col min="6" max="6" width="17.42578125" customWidth="1"/>
    <col min="7" max="7" width="35" bestFit="1" customWidth="1"/>
    <col min="8" max="8" width="25" customWidth="1"/>
    <col min="9" max="9" width="30.42578125" bestFit="1" customWidth="1"/>
    <col min="10" max="10" width="11.140625" bestFit="1" customWidth="1"/>
    <col min="11" max="11" width="30.28515625" bestFit="1" customWidth="1"/>
    <col min="12" max="12" width="12.140625" bestFit="1" customWidth="1"/>
    <col min="13" max="13" width="35.140625" bestFit="1" customWidth="1"/>
    <col min="14" max="14" width="12.140625" bestFit="1" customWidth="1"/>
  </cols>
  <sheetData>
    <row r="1" spans="1:15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2</v>
      </c>
      <c r="J1" t="s">
        <v>3</v>
      </c>
      <c r="K1" t="s">
        <v>58</v>
      </c>
      <c r="L1" t="s">
        <v>7</v>
      </c>
      <c r="M1" t="s">
        <v>59</v>
      </c>
      <c r="N1" t="s">
        <v>11</v>
      </c>
      <c r="O1" t="s">
        <v>35</v>
      </c>
    </row>
    <row r="2" spans="1:15" x14ac:dyDescent="0.25">
      <c r="A2" t="s">
        <v>46</v>
      </c>
      <c r="B2" t="s">
        <v>103</v>
      </c>
      <c r="C2">
        <v>71</v>
      </c>
      <c r="D2">
        <v>9</v>
      </c>
      <c r="E2">
        <v>0</v>
      </c>
      <c r="F2">
        <v>0</v>
      </c>
      <c r="G2">
        <v>1</v>
      </c>
      <c r="H2">
        <v>0</v>
      </c>
      <c r="I2" t="s">
        <v>6</v>
      </c>
      <c r="J2" t="s">
        <v>60</v>
      </c>
      <c r="K2" t="s">
        <v>34</v>
      </c>
      <c r="L2" t="s">
        <v>61</v>
      </c>
      <c r="M2" t="s">
        <v>62</v>
      </c>
      <c r="N2" t="s">
        <v>32</v>
      </c>
      <c r="O2" t="s">
        <v>4</v>
      </c>
    </row>
    <row r="3" spans="1:15" x14ac:dyDescent="0.25">
      <c r="A3" t="s">
        <v>47</v>
      </c>
      <c r="B3" t="s">
        <v>106</v>
      </c>
      <c r="C3">
        <v>24</v>
      </c>
      <c r="D3">
        <v>2</v>
      </c>
      <c r="E3">
        <v>0</v>
      </c>
      <c r="F3">
        <v>0</v>
      </c>
      <c r="G3">
        <v>14</v>
      </c>
      <c r="H3">
        <v>17</v>
      </c>
      <c r="I3" t="s">
        <v>24</v>
      </c>
    </row>
    <row r="4" spans="1:15" x14ac:dyDescent="0.25">
      <c r="A4" t="s">
        <v>85</v>
      </c>
      <c r="B4" t="s">
        <v>104</v>
      </c>
    </row>
    <row r="5" spans="1:15" x14ac:dyDescent="0.25">
      <c r="A5" t="s">
        <v>48</v>
      </c>
      <c r="B5" t="s">
        <v>105</v>
      </c>
      <c r="C5">
        <v>2</v>
      </c>
      <c r="D5">
        <v>2</v>
      </c>
      <c r="E5">
        <v>0</v>
      </c>
      <c r="F5">
        <v>0</v>
      </c>
      <c r="G5">
        <v>1</v>
      </c>
      <c r="H5">
        <v>2</v>
      </c>
      <c r="I5" t="s">
        <v>63</v>
      </c>
    </row>
    <row r="6" spans="1:15" x14ac:dyDescent="0.25">
      <c r="A6" t="s">
        <v>81</v>
      </c>
      <c r="B6" t="s">
        <v>107</v>
      </c>
      <c r="C6">
        <v>32</v>
      </c>
      <c r="D6">
        <v>7</v>
      </c>
      <c r="E6">
        <v>0</v>
      </c>
      <c r="F6">
        <v>0</v>
      </c>
      <c r="G6">
        <v>24</v>
      </c>
      <c r="H6">
        <v>0</v>
      </c>
    </row>
    <row r="7" spans="1:15" x14ac:dyDescent="0.25">
      <c r="A7" t="s">
        <v>49</v>
      </c>
      <c r="B7" t="s">
        <v>108</v>
      </c>
      <c r="C7">
        <v>68</v>
      </c>
      <c r="D7">
        <v>1</v>
      </c>
      <c r="E7">
        <v>1</v>
      </c>
      <c r="F7">
        <v>0</v>
      </c>
      <c r="G7">
        <v>0</v>
      </c>
      <c r="H7">
        <v>0</v>
      </c>
    </row>
    <row r="8" spans="1:15" x14ac:dyDescent="0.25">
      <c r="A8" t="s">
        <v>86</v>
      </c>
      <c r="B8" t="s">
        <v>114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 t="s">
        <v>65</v>
      </c>
    </row>
    <row r="9" spans="1:15" x14ac:dyDescent="0.25">
      <c r="A9" t="s">
        <v>82</v>
      </c>
      <c r="B9" t="s">
        <v>109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5" x14ac:dyDescent="0.25">
      <c r="A10" t="s">
        <v>68</v>
      </c>
      <c r="B10" t="s">
        <v>110</v>
      </c>
      <c r="C10">
        <v>14</v>
      </c>
      <c r="D10">
        <v>10</v>
      </c>
      <c r="E10">
        <v>0</v>
      </c>
      <c r="F10">
        <v>0</v>
      </c>
      <c r="G10">
        <v>1</v>
      </c>
      <c r="H10">
        <v>3</v>
      </c>
    </row>
    <row r="11" spans="1:15" x14ac:dyDescent="0.25">
      <c r="A11" t="s">
        <v>87</v>
      </c>
      <c r="B11" t="s">
        <v>111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5" x14ac:dyDescent="0.25">
      <c r="A12" t="s">
        <v>84</v>
      </c>
      <c r="B12" t="s">
        <v>112</v>
      </c>
      <c r="C12">
        <v>15</v>
      </c>
      <c r="D12">
        <v>7</v>
      </c>
      <c r="E12">
        <v>0</v>
      </c>
      <c r="F12">
        <v>0</v>
      </c>
      <c r="G12">
        <v>12</v>
      </c>
      <c r="H12">
        <v>4</v>
      </c>
    </row>
    <row r="13" spans="1:15" x14ac:dyDescent="0.25">
      <c r="A13" t="s">
        <v>83</v>
      </c>
      <c r="B13" t="s">
        <v>113</v>
      </c>
      <c r="C13">
        <v>4</v>
      </c>
      <c r="D13">
        <v>0</v>
      </c>
      <c r="E13">
        <v>0</v>
      </c>
      <c r="F13">
        <v>0</v>
      </c>
      <c r="G13">
        <v>0</v>
      </c>
      <c r="H13">
        <v>1</v>
      </c>
    </row>
    <row r="14" spans="1:15" x14ac:dyDescent="0.25">
      <c r="A14" t="s">
        <v>88</v>
      </c>
      <c r="B14" t="s">
        <v>115</v>
      </c>
      <c r="C14">
        <v>2</v>
      </c>
      <c r="D14">
        <v>2</v>
      </c>
      <c r="E14">
        <v>0</v>
      </c>
      <c r="F14">
        <v>0</v>
      </c>
      <c r="G14">
        <v>1</v>
      </c>
      <c r="H14">
        <v>1</v>
      </c>
      <c r="I1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B934-9B6D-43DD-8EB6-FE6092B733C9}">
  <dimension ref="A1:L11"/>
  <sheetViews>
    <sheetView topLeftCell="C1" workbookViewId="0">
      <selection activeCell="K8" sqref="K8"/>
    </sheetView>
  </sheetViews>
  <sheetFormatPr defaultRowHeight="15" x14ac:dyDescent="0.25"/>
  <cols>
    <col min="1" max="1" width="50" bestFit="1" customWidth="1"/>
    <col min="2" max="2" width="50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2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</row>
    <row r="2" spans="1:12" x14ac:dyDescent="0.25">
      <c r="A2" t="s">
        <v>46</v>
      </c>
      <c r="B2" t="s">
        <v>103</v>
      </c>
      <c r="C2">
        <v>77</v>
      </c>
      <c r="D2" s="2">
        <v>15</v>
      </c>
      <c r="E2" t="s">
        <v>0</v>
      </c>
      <c r="F2" t="s">
        <v>0</v>
      </c>
      <c r="G2" t="s">
        <v>32</v>
      </c>
      <c r="H2" t="s">
        <v>4</v>
      </c>
      <c r="I2" t="s">
        <v>6</v>
      </c>
      <c r="J2" t="s">
        <v>9</v>
      </c>
      <c r="K2" t="s">
        <v>12</v>
      </c>
    </row>
    <row r="3" spans="1:12" x14ac:dyDescent="0.25">
      <c r="A3" t="s">
        <v>47</v>
      </c>
      <c r="B3" t="s">
        <v>106</v>
      </c>
      <c r="C3">
        <v>28</v>
      </c>
      <c r="D3" s="2">
        <v>5</v>
      </c>
      <c r="E3" t="s">
        <v>0</v>
      </c>
      <c r="F3" t="s">
        <v>0</v>
      </c>
      <c r="G3" t="s">
        <v>24</v>
      </c>
    </row>
    <row r="4" spans="1:12" x14ac:dyDescent="0.25">
      <c r="A4" t="s">
        <v>48</v>
      </c>
      <c r="B4" t="s">
        <v>105</v>
      </c>
      <c r="C4">
        <v>1</v>
      </c>
      <c r="D4" s="2">
        <v>0</v>
      </c>
      <c r="E4" t="s">
        <v>0</v>
      </c>
      <c r="F4" t="s">
        <v>0</v>
      </c>
      <c r="G4" t="s">
        <v>64</v>
      </c>
    </row>
    <row r="5" spans="1:12" x14ac:dyDescent="0.25">
      <c r="A5" t="s">
        <v>81</v>
      </c>
      <c r="B5" t="s">
        <v>107</v>
      </c>
      <c r="C5">
        <v>23</v>
      </c>
      <c r="D5" s="2">
        <v>5</v>
      </c>
      <c r="E5" t="s">
        <v>0</v>
      </c>
      <c r="F5" t="s">
        <v>0</v>
      </c>
      <c r="G5" t="s">
        <v>15</v>
      </c>
      <c r="H5" t="s">
        <v>16</v>
      </c>
      <c r="I5" t="s">
        <v>39</v>
      </c>
      <c r="J5" t="s">
        <v>17</v>
      </c>
      <c r="K5" t="s">
        <v>18</v>
      </c>
    </row>
    <row r="6" spans="1:12" x14ac:dyDescent="0.25">
      <c r="A6" t="s">
        <v>49</v>
      </c>
      <c r="B6" t="s">
        <v>108</v>
      </c>
      <c r="C6">
        <v>29</v>
      </c>
      <c r="D6" s="2">
        <v>3</v>
      </c>
      <c r="E6" t="s">
        <v>55</v>
      </c>
      <c r="F6" t="s">
        <v>0</v>
      </c>
      <c r="G6" t="s">
        <v>19</v>
      </c>
      <c r="H6" t="s">
        <v>66</v>
      </c>
    </row>
    <row r="7" spans="1:12" x14ac:dyDescent="0.25">
      <c r="A7" t="s">
        <v>82</v>
      </c>
      <c r="B7" t="s">
        <v>109</v>
      </c>
      <c r="C7">
        <v>2</v>
      </c>
      <c r="D7" s="2">
        <v>1</v>
      </c>
      <c r="E7" t="s">
        <v>0</v>
      </c>
      <c r="F7" t="s">
        <v>0</v>
      </c>
      <c r="G7" t="s">
        <v>21</v>
      </c>
    </row>
    <row r="8" spans="1:12" x14ac:dyDescent="0.25">
      <c r="A8" t="s">
        <v>68</v>
      </c>
      <c r="B8" t="s">
        <v>110</v>
      </c>
      <c r="C8">
        <v>5</v>
      </c>
      <c r="D8" s="2">
        <v>4</v>
      </c>
      <c r="E8" t="s">
        <v>0</v>
      </c>
      <c r="F8" t="s">
        <v>0</v>
      </c>
      <c r="G8" t="s">
        <v>22</v>
      </c>
      <c r="H8" t="s">
        <v>57</v>
      </c>
      <c r="I8" t="s">
        <v>29</v>
      </c>
      <c r="J8" t="s">
        <v>30</v>
      </c>
    </row>
    <row r="9" spans="1:12" x14ac:dyDescent="0.25">
      <c r="A9" t="s">
        <v>84</v>
      </c>
      <c r="B9" t="s">
        <v>112</v>
      </c>
      <c r="C9">
        <v>31</v>
      </c>
      <c r="D9" s="2">
        <v>17</v>
      </c>
      <c r="E9" t="s">
        <v>0</v>
      </c>
      <c r="F9" t="s">
        <v>0</v>
      </c>
    </row>
    <row r="10" spans="1:12" x14ac:dyDescent="0.25">
      <c r="A10" t="s">
        <v>83</v>
      </c>
      <c r="B10" t="s">
        <v>113</v>
      </c>
      <c r="C10">
        <v>1</v>
      </c>
      <c r="D10" s="2">
        <v>0</v>
      </c>
      <c r="E10" t="s">
        <v>0</v>
      </c>
      <c r="F10" t="s">
        <v>0</v>
      </c>
    </row>
    <row r="11" spans="1:12" x14ac:dyDescent="0.25">
      <c r="A11" t="s">
        <v>88</v>
      </c>
      <c r="B11" t="s">
        <v>115</v>
      </c>
      <c r="C11">
        <v>1</v>
      </c>
      <c r="D11" s="2">
        <v>1</v>
      </c>
      <c r="E11" t="s">
        <v>0</v>
      </c>
      <c r="F11" t="s">
        <v>0</v>
      </c>
      <c r="G11" t="s">
        <v>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4B0D-DF64-4CAB-B172-922FCF6E5301}">
  <dimension ref="A1:L9"/>
  <sheetViews>
    <sheetView workbookViewId="0">
      <selection activeCell="I8" sqref="I8"/>
    </sheetView>
  </sheetViews>
  <sheetFormatPr defaultRowHeight="15" x14ac:dyDescent="0.25"/>
  <cols>
    <col min="1" max="1" width="34.42578125" bestFit="1" customWidth="1"/>
    <col min="2" max="2" width="34.4257812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  <col min="7" max="7" width="25.5703125" customWidth="1"/>
    <col min="8" max="8" width="18.85546875" customWidth="1"/>
    <col min="9" max="9" width="17" customWidth="1"/>
    <col min="10" max="10" width="18.28515625" customWidth="1"/>
    <col min="11" max="11" width="20.5703125" customWidth="1"/>
    <col min="12" max="12" width="14.42578125" customWidth="1"/>
  </cols>
  <sheetData>
    <row r="1" spans="1:12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</row>
    <row r="2" spans="1:12" x14ac:dyDescent="0.25">
      <c r="A2" t="s">
        <v>46</v>
      </c>
      <c r="B2" t="s">
        <v>103</v>
      </c>
      <c r="C2">
        <v>62</v>
      </c>
      <c r="D2">
        <v>15</v>
      </c>
      <c r="E2" t="s">
        <v>0</v>
      </c>
      <c r="F2" t="s">
        <v>0</v>
      </c>
      <c r="G2" t="s">
        <v>32</v>
      </c>
      <c r="H2" t="s">
        <v>4</v>
      </c>
      <c r="I2" t="s">
        <v>6</v>
      </c>
      <c r="J2" t="s">
        <v>9</v>
      </c>
      <c r="K2" t="s">
        <v>37</v>
      </c>
      <c r="L2" t="s">
        <v>12</v>
      </c>
    </row>
    <row r="3" spans="1:12" x14ac:dyDescent="0.25">
      <c r="A3" t="s">
        <v>47</v>
      </c>
      <c r="B3" t="s">
        <v>106</v>
      </c>
      <c r="C3">
        <v>20</v>
      </c>
      <c r="D3">
        <v>1</v>
      </c>
      <c r="E3" t="s">
        <v>0</v>
      </c>
      <c r="F3" t="s">
        <v>0</v>
      </c>
      <c r="G3" t="s">
        <v>13</v>
      </c>
    </row>
    <row r="4" spans="1:12" x14ac:dyDescent="0.25">
      <c r="A4" t="s">
        <v>48</v>
      </c>
      <c r="B4" t="s">
        <v>105</v>
      </c>
      <c r="C4">
        <v>2</v>
      </c>
      <c r="D4">
        <v>0</v>
      </c>
      <c r="E4" t="s">
        <v>0</v>
      </c>
      <c r="F4" t="s">
        <v>0</v>
      </c>
      <c r="G4" t="s">
        <v>14</v>
      </c>
    </row>
    <row r="5" spans="1:12" x14ac:dyDescent="0.25">
      <c r="A5" t="s">
        <v>81</v>
      </c>
      <c r="B5" t="s">
        <v>107</v>
      </c>
      <c r="C5">
        <v>32</v>
      </c>
      <c r="D5">
        <v>0</v>
      </c>
      <c r="E5" t="s">
        <v>0</v>
      </c>
      <c r="F5" t="s">
        <v>0</v>
      </c>
      <c r="G5" t="s">
        <v>15</v>
      </c>
      <c r="H5" t="s">
        <v>16</v>
      </c>
      <c r="I5" t="s">
        <v>17</v>
      </c>
      <c r="J5" t="s">
        <v>18</v>
      </c>
    </row>
    <row r="6" spans="1:12" x14ac:dyDescent="0.25">
      <c r="A6" t="s">
        <v>49</v>
      </c>
      <c r="B6" t="s">
        <v>108</v>
      </c>
      <c r="C6">
        <v>32</v>
      </c>
      <c r="D6">
        <v>0</v>
      </c>
      <c r="E6" t="s">
        <v>1</v>
      </c>
      <c r="F6" t="s">
        <v>0</v>
      </c>
      <c r="G6" t="s">
        <v>19</v>
      </c>
      <c r="H6" t="s">
        <v>20</v>
      </c>
    </row>
    <row r="7" spans="1:12" x14ac:dyDescent="0.25">
      <c r="A7" t="s">
        <v>82</v>
      </c>
      <c r="B7" t="s">
        <v>109</v>
      </c>
      <c r="C7">
        <v>6</v>
      </c>
      <c r="D7">
        <v>2</v>
      </c>
      <c r="E7" t="s">
        <v>0</v>
      </c>
      <c r="F7" t="s">
        <v>0</v>
      </c>
      <c r="G7" t="s">
        <v>21</v>
      </c>
    </row>
    <row r="8" spans="1:12" x14ac:dyDescent="0.25">
      <c r="A8" t="s">
        <v>68</v>
      </c>
      <c r="B8" t="s">
        <v>110</v>
      </c>
      <c r="C8">
        <v>8</v>
      </c>
      <c r="D8">
        <v>6</v>
      </c>
      <c r="E8" t="s">
        <v>0</v>
      </c>
      <c r="F8" t="s">
        <v>0</v>
      </c>
      <c r="G8" t="s">
        <v>22</v>
      </c>
      <c r="H8" t="s">
        <v>23</v>
      </c>
    </row>
    <row r="9" spans="1:12" x14ac:dyDescent="0.25">
      <c r="A9" t="s">
        <v>84</v>
      </c>
      <c r="B9" t="s">
        <v>112</v>
      </c>
      <c r="C9">
        <v>22</v>
      </c>
      <c r="D9">
        <v>8</v>
      </c>
      <c r="E9" t="s">
        <v>0</v>
      </c>
      <c r="F9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7A28-C32E-45BC-BA08-C4473755E52E}">
  <dimension ref="A1:L11"/>
  <sheetViews>
    <sheetView workbookViewId="0">
      <selection activeCell="G8" sqref="G8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  <col min="7" max="7" width="18.42578125" customWidth="1"/>
    <col min="8" max="8" width="18.7109375" customWidth="1"/>
    <col min="9" max="9" width="18.140625" customWidth="1"/>
  </cols>
  <sheetData>
    <row r="1" spans="1:12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</row>
    <row r="2" spans="1:12" x14ac:dyDescent="0.25">
      <c r="A2" t="s">
        <v>46</v>
      </c>
      <c r="B2" t="s">
        <v>103</v>
      </c>
      <c r="C2">
        <v>74</v>
      </c>
      <c r="D2">
        <v>7</v>
      </c>
      <c r="E2" t="s">
        <v>0</v>
      </c>
      <c r="F2" t="s">
        <v>0</v>
      </c>
      <c r="G2" t="s">
        <v>4</v>
      </c>
      <c r="H2" t="s">
        <v>6</v>
      </c>
      <c r="I2" t="s">
        <v>9</v>
      </c>
      <c r="J2" t="s">
        <v>10</v>
      </c>
    </row>
    <row r="3" spans="1:12" x14ac:dyDescent="0.25">
      <c r="A3" t="s">
        <v>47</v>
      </c>
      <c r="B3" t="s">
        <v>106</v>
      </c>
      <c r="C3">
        <v>24</v>
      </c>
      <c r="D3">
        <v>1</v>
      </c>
      <c r="E3" t="s">
        <v>0</v>
      </c>
      <c r="F3" t="s">
        <v>0</v>
      </c>
      <c r="G3" t="s">
        <v>24</v>
      </c>
    </row>
    <row r="4" spans="1:12" x14ac:dyDescent="0.25">
      <c r="A4" t="s">
        <v>48</v>
      </c>
      <c r="B4" t="s">
        <v>105</v>
      </c>
      <c r="C4">
        <v>1</v>
      </c>
      <c r="D4">
        <v>0</v>
      </c>
      <c r="E4" t="s">
        <v>0</v>
      </c>
      <c r="F4" t="s">
        <v>0</v>
      </c>
      <c r="G4" t="s">
        <v>25</v>
      </c>
      <c r="H4" t="s">
        <v>26</v>
      </c>
    </row>
    <row r="5" spans="1:12" x14ac:dyDescent="0.25">
      <c r="A5" t="s">
        <v>81</v>
      </c>
      <c r="B5" t="s">
        <v>107</v>
      </c>
      <c r="C5">
        <v>22</v>
      </c>
      <c r="D5">
        <v>17</v>
      </c>
      <c r="E5" t="s">
        <v>0</v>
      </c>
      <c r="F5" t="s">
        <v>0</v>
      </c>
      <c r="G5" t="s">
        <v>15</v>
      </c>
      <c r="H5" t="s">
        <v>122</v>
      </c>
    </row>
    <row r="6" spans="1:12" x14ac:dyDescent="0.25">
      <c r="A6" t="s">
        <v>49</v>
      </c>
      <c r="B6" t="s">
        <v>108</v>
      </c>
      <c r="C6">
        <v>32</v>
      </c>
      <c r="D6">
        <v>0</v>
      </c>
      <c r="E6" t="s">
        <v>1</v>
      </c>
      <c r="F6" t="s">
        <v>0</v>
      </c>
      <c r="G6" t="s">
        <v>19</v>
      </c>
      <c r="H6" t="s">
        <v>27</v>
      </c>
      <c r="I6" t="s">
        <v>20</v>
      </c>
      <c r="J6" t="s">
        <v>28</v>
      </c>
    </row>
    <row r="7" spans="1:12" x14ac:dyDescent="0.25">
      <c r="A7" t="s">
        <v>82</v>
      </c>
      <c r="B7" t="s">
        <v>109</v>
      </c>
      <c r="C7">
        <v>2</v>
      </c>
      <c r="D7">
        <v>0</v>
      </c>
      <c r="E7" t="s">
        <v>0</v>
      </c>
      <c r="F7" t="s">
        <v>0</v>
      </c>
    </row>
    <row r="8" spans="1:12" x14ac:dyDescent="0.25">
      <c r="A8" t="s">
        <v>68</v>
      </c>
      <c r="B8" t="s">
        <v>110</v>
      </c>
      <c r="C8">
        <v>7</v>
      </c>
      <c r="D8">
        <v>2</v>
      </c>
      <c r="E8" t="s">
        <v>0</v>
      </c>
      <c r="F8" t="s">
        <v>0</v>
      </c>
      <c r="G8" t="s">
        <v>29</v>
      </c>
      <c r="H8" t="s">
        <v>30</v>
      </c>
      <c r="J8" t="s">
        <v>42</v>
      </c>
    </row>
    <row r="9" spans="1:12" x14ac:dyDescent="0.25">
      <c r="A9" t="s">
        <v>84</v>
      </c>
      <c r="B9" t="s">
        <v>112</v>
      </c>
      <c r="C9">
        <v>28</v>
      </c>
      <c r="D9">
        <v>4</v>
      </c>
      <c r="E9" t="s">
        <v>0</v>
      </c>
      <c r="F9" t="s">
        <v>0</v>
      </c>
    </row>
    <row r="10" spans="1:12" x14ac:dyDescent="0.25">
      <c r="A10" t="s">
        <v>83</v>
      </c>
      <c r="B10" t="s">
        <v>113</v>
      </c>
      <c r="C10">
        <v>1</v>
      </c>
      <c r="D10">
        <v>0</v>
      </c>
      <c r="E10" t="s">
        <v>0</v>
      </c>
      <c r="F10" t="s">
        <v>0</v>
      </c>
    </row>
    <row r="11" spans="1:12" x14ac:dyDescent="0.25">
      <c r="A11" t="s">
        <v>89</v>
      </c>
      <c r="B11" t="s">
        <v>116</v>
      </c>
      <c r="C11">
        <v>2</v>
      </c>
      <c r="D11">
        <v>0</v>
      </c>
      <c r="E11" t="s">
        <v>0</v>
      </c>
      <c r="F11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B26B-E094-4901-BFA6-ED46DE72C955}">
  <dimension ref="A1:N10"/>
  <sheetViews>
    <sheetView topLeftCell="D1" workbookViewId="0">
      <selection activeCell="O1" sqref="O1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4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  <c r="M1" t="s">
        <v>35</v>
      </c>
      <c r="N1" t="s">
        <v>36</v>
      </c>
    </row>
    <row r="2" spans="1:14" x14ac:dyDescent="0.25">
      <c r="A2" t="s">
        <v>46</v>
      </c>
      <c r="B2" t="s">
        <v>103</v>
      </c>
      <c r="C2">
        <v>81</v>
      </c>
      <c r="D2">
        <v>3</v>
      </c>
      <c r="E2" t="s">
        <v>0</v>
      </c>
      <c r="F2" t="s">
        <v>0</v>
      </c>
      <c r="G2" t="s">
        <v>4</v>
      </c>
      <c r="H2" t="s">
        <v>32</v>
      </c>
      <c r="I2" t="s">
        <v>33</v>
      </c>
      <c r="K2" t="s">
        <v>34</v>
      </c>
      <c r="L2" t="s">
        <v>6</v>
      </c>
      <c r="M2" t="s">
        <v>9</v>
      </c>
      <c r="N2" t="s">
        <v>37</v>
      </c>
    </row>
    <row r="3" spans="1:14" x14ac:dyDescent="0.25">
      <c r="A3" t="s">
        <v>47</v>
      </c>
      <c r="B3" t="s">
        <v>106</v>
      </c>
      <c r="C3">
        <v>22</v>
      </c>
      <c r="D3">
        <v>0</v>
      </c>
      <c r="E3" t="s">
        <v>0</v>
      </c>
      <c r="F3" t="s">
        <v>0</v>
      </c>
      <c r="G3" t="s">
        <v>24</v>
      </c>
    </row>
    <row r="4" spans="1:14" x14ac:dyDescent="0.25">
      <c r="A4" t="s">
        <v>48</v>
      </c>
      <c r="B4" t="s">
        <v>105</v>
      </c>
      <c r="C4">
        <v>1</v>
      </c>
      <c r="D4">
        <v>0</v>
      </c>
      <c r="E4" t="s">
        <v>0</v>
      </c>
      <c r="F4" t="s">
        <v>0</v>
      </c>
      <c r="G4" t="s">
        <v>38</v>
      </c>
    </row>
    <row r="5" spans="1:14" x14ac:dyDescent="0.25">
      <c r="A5" t="s">
        <v>81</v>
      </c>
      <c r="B5" t="s">
        <v>107</v>
      </c>
      <c r="C5">
        <v>16</v>
      </c>
      <c r="D5">
        <v>3</v>
      </c>
      <c r="E5" t="s">
        <v>0</v>
      </c>
      <c r="F5" t="s">
        <v>0</v>
      </c>
      <c r="G5" t="s">
        <v>15</v>
      </c>
      <c r="H5" t="s">
        <v>16</v>
      </c>
      <c r="I5" t="s">
        <v>39</v>
      </c>
      <c r="J5" t="s">
        <v>17</v>
      </c>
    </row>
    <row r="6" spans="1:14" x14ac:dyDescent="0.25">
      <c r="A6" t="s">
        <v>49</v>
      </c>
      <c r="B6" t="s">
        <v>108</v>
      </c>
      <c r="C6">
        <v>63</v>
      </c>
      <c r="D6">
        <v>2</v>
      </c>
      <c r="E6" t="s">
        <v>31</v>
      </c>
      <c r="F6" t="s">
        <v>0</v>
      </c>
      <c r="G6" t="s">
        <v>19</v>
      </c>
      <c r="H6" t="s">
        <v>27</v>
      </c>
      <c r="I6" t="s">
        <v>20</v>
      </c>
      <c r="J6" t="s">
        <v>40</v>
      </c>
      <c r="K6" t="s">
        <v>41</v>
      </c>
    </row>
    <row r="7" spans="1:14" x14ac:dyDescent="0.25">
      <c r="A7" t="s">
        <v>82</v>
      </c>
      <c r="B7" t="s">
        <v>109</v>
      </c>
      <c r="C7">
        <v>2</v>
      </c>
      <c r="D7">
        <v>2</v>
      </c>
      <c r="E7" t="s">
        <v>0</v>
      </c>
      <c r="F7" t="s">
        <v>0</v>
      </c>
      <c r="G7" t="s">
        <v>21</v>
      </c>
    </row>
    <row r="8" spans="1:14" x14ac:dyDescent="0.25">
      <c r="A8" t="s">
        <v>68</v>
      </c>
      <c r="B8" t="s">
        <v>110</v>
      </c>
      <c r="C8">
        <v>1</v>
      </c>
      <c r="D8">
        <v>0</v>
      </c>
      <c r="E8" t="s">
        <v>0</v>
      </c>
      <c r="F8" t="s">
        <v>0</v>
      </c>
      <c r="G8" t="s">
        <v>42</v>
      </c>
    </row>
    <row r="9" spans="1:14" x14ac:dyDescent="0.25">
      <c r="A9" t="s">
        <v>84</v>
      </c>
      <c r="B9" t="s">
        <v>112</v>
      </c>
      <c r="C9">
        <v>28</v>
      </c>
      <c r="D9">
        <v>4</v>
      </c>
      <c r="E9" t="s">
        <v>0</v>
      </c>
      <c r="F9" t="s">
        <v>0</v>
      </c>
    </row>
    <row r="10" spans="1:14" x14ac:dyDescent="0.25">
      <c r="A10" t="s">
        <v>90</v>
      </c>
      <c r="B10" t="s">
        <v>111</v>
      </c>
      <c r="C10">
        <v>2</v>
      </c>
      <c r="D10">
        <v>0</v>
      </c>
      <c r="E10" t="s">
        <v>0</v>
      </c>
      <c r="F10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760B-5A20-4225-8E42-ECD787FC489D}">
  <dimension ref="A1:N8"/>
  <sheetViews>
    <sheetView workbookViewId="0">
      <selection activeCell="G6" sqref="G6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4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  <c r="M1" t="s">
        <v>35</v>
      </c>
      <c r="N1" t="s">
        <v>36</v>
      </c>
    </row>
    <row r="2" spans="1:14" x14ac:dyDescent="0.25">
      <c r="A2" t="s">
        <v>46</v>
      </c>
      <c r="B2" t="s">
        <v>103</v>
      </c>
      <c r="C2">
        <v>63</v>
      </c>
      <c r="D2">
        <v>2</v>
      </c>
      <c r="E2" t="s">
        <v>0</v>
      </c>
      <c r="F2" t="s">
        <v>0</v>
      </c>
      <c r="G2" t="s">
        <v>4</v>
      </c>
      <c r="H2" t="s">
        <v>33</v>
      </c>
      <c r="I2" t="s">
        <v>34</v>
      </c>
      <c r="J2" t="s">
        <v>33</v>
      </c>
      <c r="K2" t="s">
        <v>6</v>
      </c>
      <c r="L2" t="s">
        <v>9</v>
      </c>
      <c r="N2" t="s">
        <v>37</v>
      </c>
    </row>
    <row r="3" spans="1:14" x14ac:dyDescent="0.25">
      <c r="A3" t="s">
        <v>47</v>
      </c>
      <c r="B3" t="s">
        <v>106</v>
      </c>
      <c r="C3">
        <v>20</v>
      </c>
      <c r="D3">
        <v>0</v>
      </c>
      <c r="E3" t="s">
        <v>0</v>
      </c>
      <c r="F3" t="s">
        <v>0</v>
      </c>
      <c r="G3" t="s">
        <v>24</v>
      </c>
    </row>
    <row r="4" spans="1:14" x14ac:dyDescent="0.25">
      <c r="A4" t="s">
        <v>81</v>
      </c>
      <c r="B4" t="s">
        <v>107</v>
      </c>
      <c r="C4">
        <v>14</v>
      </c>
      <c r="D4">
        <v>1</v>
      </c>
      <c r="E4" t="s">
        <v>0</v>
      </c>
      <c r="F4" t="s">
        <v>0</v>
      </c>
      <c r="G4" t="s">
        <v>15</v>
      </c>
      <c r="H4" t="s">
        <v>16</v>
      </c>
    </row>
    <row r="5" spans="1:14" x14ac:dyDescent="0.25">
      <c r="A5" t="s">
        <v>49</v>
      </c>
      <c r="B5" t="s">
        <v>108</v>
      </c>
      <c r="C5">
        <v>34</v>
      </c>
      <c r="D5">
        <v>2</v>
      </c>
      <c r="E5" t="s">
        <v>43</v>
      </c>
      <c r="F5" t="s">
        <v>0</v>
      </c>
      <c r="G5" t="s">
        <v>19</v>
      </c>
      <c r="H5" t="s">
        <v>27</v>
      </c>
      <c r="I5" t="s">
        <v>20</v>
      </c>
      <c r="J5" t="s">
        <v>41</v>
      </c>
    </row>
    <row r="6" spans="1:14" x14ac:dyDescent="0.25">
      <c r="A6" t="s">
        <v>68</v>
      </c>
      <c r="B6" t="s">
        <v>110</v>
      </c>
      <c r="C6">
        <v>11</v>
      </c>
      <c r="D6">
        <v>3</v>
      </c>
      <c r="E6" t="s">
        <v>0</v>
      </c>
      <c r="F6" t="s">
        <v>0</v>
      </c>
      <c r="G6" t="s">
        <v>42</v>
      </c>
      <c r="H6" t="s">
        <v>123</v>
      </c>
    </row>
    <row r="7" spans="1:14" x14ac:dyDescent="0.25">
      <c r="A7" t="s">
        <v>84</v>
      </c>
      <c r="B7" t="s">
        <v>112</v>
      </c>
      <c r="C7">
        <v>14</v>
      </c>
      <c r="D7">
        <v>4</v>
      </c>
      <c r="E7" t="s">
        <v>0</v>
      </c>
      <c r="F7" t="s">
        <v>0</v>
      </c>
    </row>
    <row r="8" spans="1:14" x14ac:dyDescent="0.25">
      <c r="A8" t="s">
        <v>83</v>
      </c>
      <c r="B8" t="s">
        <v>113</v>
      </c>
      <c r="C8">
        <v>1</v>
      </c>
      <c r="D8">
        <v>0</v>
      </c>
      <c r="E8" t="s">
        <v>0</v>
      </c>
      <c r="F8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406D-02F3-4EA7-9204-73C71CE7FECF}">
  <dimension ref="A1:N7"/>
  <sheetViews>
    <sheetView workbookViewId="0">
      <selection activeCell="I5" sqref="I5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4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  <c r="M1" t="s">
        <v>35</v>
      </c>
      <c r="N1" t="s">
        <v>36</v>
      </c>
    </row>
    <row r="2" spans="1:14" x14ac:dyDescent="0.25">
      <c r="A2" t="s">
        <v>46</v>
      </c>
      <c r="B2" t="s">
        <v>103</v>
      </c>
      <c r="C2">
        <v>53</v>
      </c>
      <c r="D2">
        <v>0</v>
      </c>
      <c r="E2" t="s">
        <v>0</v>
      </c>
      <c r="F2" t="s">
        <v>0</v>
      </c>
      <c r="G2" t="s">
        <v>32</v>
      </c>
      <c r="H2" t="s">
        <v>34</v>
      </c>
      <c r="I2" t="s">
        <v>9</v>
      </c>
      <c r="J2" t="s">
        <v>37</v>
      </c>
    </row>
    <row r="3" spans="1:14" x14ac:dyDescent="0.25">
      <c r="A3" t="s">
        <v>47</v>
      </c>
      <c r="B3" t="s">
        <v>106</v>
      </c>
      <c r="C3">
        <v>27</v>
      </c>
      <c r="D3">
        <v>0</v>
      </c>
      <c r="E3" t="s">
        <v>0</v>
      </c>
      <c r="F3" t="s">
        <v>0</v>
      </c>
      <c r="G3" t="s">
        <v>24</v>
      </c>
    </row>
    <row r="4" spans="1:14" x14ac:dyDescent="0.25">
      <c r="A4" t="s">
        <v>81</v>
      </c>
      <c r="B4" t="s">
        <v>107</v>
      </c>
      <c r="C4">
        <v>30</v>
      </c>
      <c r="D4">
        <v>8</v>
      </c>
      <c r="E4" t="s">
        <v>0</v>
      </c>
      <c r="F4" t="s">
        <v>0</v>
      </c>
      <c r="G4" t="s">
        <v>15</v>
      </c>
      <c r="H4" t="s">
        <v>16</v>
      </c>
      <c r="I4" t="s">
        <v>69</v>
      </c>
      <c r="J4" t="s">
        <v>44</v>
      </c>
      <c r="L4" t="s">
        <v>37</v>
      </c>
    </row>
    <row r="5" spans="1:14" x14ac:dyDescent="0.25">
      <c r="A5" t="s">
        <v>49</v>
      </c>
      <c r="B5" t="s">
        <v>108</v>
      </c>
      <c r="C5">
        <v>29</v>
      </c>
      <c r="D5">
        <v>0</v>
      </c>
      <c r="E5" t="s">
        <v>1</v>
      </c>
      <c r="F5" t="s">
        <v>0</v>
      </c>
      <c r="G5" t="s">
        <v>19</v>
      </c>
      <c r="H5" t="s">
        <v>27</v>
      </c>
      <c r="I5" t="s">
        <v>40</v>
      </c>
    </row>
    <row r="6" spans="1:14" x14ac:dyDescent="0.25">
      <c r="A6" t="s">
        <v>68</v>
      </c>
      <c r="B6" t="s">
        <v>110</v>
      </c>
      <c r="C6">
        <v>7</v>
      </c>
      <c r="D6">
        <v>0</v>
      </c>
      <c r="E6" t="s">
        <v>0</v>
      </c>
      <c r="F6" t="s">
        <v>0</v>
      </c>
      <c r="G6" t="s">
        <v>42</v>
      </c>
      <c r="H6" t="s">
        <v>30</v>
      </c>
    </row>
    <row r="7" spans="1:14" x14ac:dyDescent="0.25">
      <c r="A7" t="s">
        <v>84</v>
      </c>
      <c r="B7" t="s">
        <v>112</v>
      </c>
      <c r="C7">
        <v>13</v>
      </c>
      <c r="D7">
        <v>0</v>
      </c>
      <c r="E7" t="s">
        <v>0</v>
      </c>
      <c r="F7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BD16-C64C-4888-94D9-4E718E37C33D}">
  <dimension ref="A1:J7"/>
  <sheetViews>
    <sheetView topLeftCell="C1" workbookViewId="0">
      <selection activeCell="I5" sqref="I5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0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</row>
    <row r="2" spans="1:10" x14ac:dyDescent="0.25">
      <c r="A2" t="s">
        <v>46</v>
      </c>
      <c r="B2" t="s">
        <v>103</v>
      </c>
      <c r="C2">
        <v>42</v>
      </c>
      <c r="D2">
        <v>0</v>
      </c>
      <c r="E2" t="s">
        <v>0</v>
      </c>
      <c r="F2" t="s">
        <v>0</v>
      </c>
      <c r="G2" t="s">
        <v>9</v>
      </c>
      <c r="H2" t="s">
        <v>37</v>
      </c>
    </row>
    <row r="3" spans="1:10" x14ac:dyDescent="0.25">
      <c r="A3" t="s">
        <v>47</v>
      </c>
      <c r="B3" t="s">
        <v>106</v>
      </c>
      <c r="C3">
        <v>32</v>
      </c>
      <c r="D3">
        <v>1</v>
      </c>
      <c r="E3" t="s">
        <v>0</v>
      </c>
      <c r="F3" t="s">
        <v>0</v>
      </c>
      <c r="G3" t="s">
        <v>24</v>
      </c>
    </row>
    <row r="4" spans="1:10" x14ac:dyDescent="0.25">
      <c r="A4" t="s">
        <v>81</v>
      </c>
      <c r="B4" t="s">
        <v>107</v>
      </c>
      <c r="C4">
        <v>32</v>
      </c>
      <c r="D4">
        <v>9</v>
      </c>
      <c r="E4" t="s">
        <v>0</v>
      </c>
      <c r="F4" t="s">
        <v>0</v>
      </c>
      <c r="G4" t="s">
        <v>15</v>
      </c>
      <c r="H4" t="s">
        <v>16</v>
      </c>
    </row>
    <row r="5" spans="1:10" x14ac:dyDescent="0.25">
      <c r="A5" t="s">
        <v>49</v>
      </c>
      <c r="B5" t="s">
        <v>108</v>
      </c>
      <c r="C5">
        <v>42</v>
      </c>
      <c r="D5">
        <v>1</v>
      </c>
      <c r="E5" t="s">
        <v>45</v>
      </c>
      <c r="F5" t="s">
        <v>0</v>
      </c>
      <c r="G5" t="s">
        <v>19</v>
      </c>
      <c r="H5" t="s">
        <v>27</v>
      </c>
    </row>
    <row r="6" spans="1:10" x14ac:dyDescent="0.25">
      <c r="A6" t="s">
        <v>74</v>
      </c>
      <c r="B6" t="s">
        <v>113</v>
      </c>
      <c r="C6">
        <v>1</v>
      </c>
      <c r="D6">
        <v>0</v>
      </c>
      <c r="E6" t="s">
        <v>0</v>
      </c>
      <c r="F6" t="s">
        <v>0</v>
      </c>
    </row>
    <row r="7" spans="1:10" x14ac:dyDescent="0.25">
      <c r="A7" t="s">
        <v>84</v>
      </c>
      <c r="B7" t="s">
        <v>112</v>
      </c>
      <c r="C7">
        <v>14</v>
      </c>
      <c r="D7">
        <v>5</v>
      </c>
      <c r="E7" t="s">
        <v>0</v>
      </c>
      <c r="F7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DCCA-2B1E-4A60-BB51-7237B4BCD19E}">
  <dimension ref="A1:L7"/>
  <sheetViews>
    <sheetView topLeftCell="C1" workbookViewId="0">
      <selection activeCell="L6" sqref="L6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2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  <c r="K1" t="s">
        <v>8</v>
      </c>
      <c r="L1" t="s">
        <v>11</v>
      </c>
    </row>
    <row r="2" spans="1:12" x14ac:dyDescent="0.25">
      <c r="A2" t="s">
        <v>46</v>
      </c>
      <c r="B2" t="s">
        <v>103</v>
      </c>
      <c r="C2">
        <v>60</v>
      </c>
      <c r="D2">
        <v>0</v>
      </c>
      <c r="E2" t="s">
        <v>0</v>
      </c>
      <c r="F2" t="s">
        <v>0</v>
      </c>
      <c r="G2" t="s">
        <v>9</v>
      </c>
      <c r="H2" t="s">
        <v>34</v>
      </c>
      <c r="I2" t="s">
        <v>37</v>
      </c>
    </row>
    <row r="3" spans="1:12" x14ac:dyDescent="0.25">
      <c r="A3" t="s">
        <v>47</v>
      </c>
      <c r="B3" t="s">
        <v>106</v>
      </c>
      <c r="C3">
        <v>33</v>
      </c>
      <c r="D3">
        <v>1</v>
      </c>
      <c r="E3" t="s">
        <v>0</v>
      </c>
      <c r="F3" t="s">
        <v>0</v>
      </c>
      <c r="G3" t="s">
        <v>24</v>
      </c>
    </row>
    <row r="4" spans="1:12" x14ac:dyDescent="0.25">
      <c r="A4" t="s">
        <v>81</v>
      </c>
      <c r="B4" t="s">
        <v>107</v>
      </c>
      <c r="C4">
        <v>16</v>
      </c>
      <c r="D4">
        <v>5</v>
      </c>
      <c r="E4" t="s">
        <v>0</v>
      </c>
      <c r="F4" t="s">
        <v>0</v>
      </c>
      <c r="G4" t="s">
        <v>15</v>
      </c>
      <c r="H4" t="s">
        <v>16</v>
      </c>
      <c r="I4" t="s">
        <v>69</v>
      </c>
      <c r="J4" t="s">
        <v>70</v>
      </c>
    </row>
    <row r="5" spans="1:12" ht="165" x14ac:dyDescent="0.25">
      <c r="A5" t="s">
        <v>49</v>
      </c>
      <c r="B5" t="s">
        <v>108</v>
      </c>
      <c r="C5">
        <v>20</v>
      </c>
      <c r="D5">
        <v>4</v>
      </c>
      <c r="E5" t="s">
        <v>67</v>
      </c>
      <c r="F5" t="s">
        <v>0</v>
      </c>
      <c r="G5" t="s">
        <v>19</v>
      </c>
      <c r="H5" t="s">
        <v>51</v>
      </c>
      <c r="I5" s="3" t="s">
        <v>124</v>
      </c>
      <c r="J5" t="s">
        <v>27</v>
      </c>
    </row>
    <row r="6" spans="1:12" x14ac:dyDescent="0.25">
      <c r="A6" t="s">
        <v>68</v>
      </c>
      <c r="B6" t="s">
        <v>110</v>
      </c>
      <c r="C6">
        <v>3</v>
      </c>
      <c r="D6">
        <v>4</v>
      </c>
      <c r="E6" t="s">
        <v>0</v>
      </c>
      <c r="F6" t="s">
        <v>0</v>
      </c>
      <c r="G6" t="s">
        <v>42</v>
      </c>
      <c r="H6" t="s">
        <v>72</v>
      </c>
    </row>
    <row r="7" spans="1:12" x14ac:dyDescent="0.25">
      <c r="A7" t="s">
        <v>84</v>
      </c>
      <c r="B7" t="s">
        <v>112</v>
      </c>
      <c r="C7">
        <v>12</v>
      </c>
      <c r="D7">
        <v>9</v>
      </c>
      <c r="E7" t="s">
        <v>0</v>
      </c>
      <c r="F7" t="s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A24D-ADC4-44DF-9CB4-042E94E4AB9D}">
  <dimension ref="A1:J7"/>
  <sheetViews>
    <sheetView topLeftCell="D1" workbookViewId="0">
      <selection activeCell="J1" sqref="J1"/>
    </sheetView>
  </sheetViews>
  <sheetFormatPr defaultRowHeight="15" x14ac:dyDescent="0.25"/>
  <cols>
    <col min="1" max="1" width="40.85546875" bestFit="1" customWidth="1"/>
    <col min="2" max="2" width="40.8554687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  <col min="7" max="10" width="9.140625" style="3"/>
  </cols>
  <sheetData>
    <row r="1" spans="1:10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s="3" t="s">
        <v>2</v>
      </c>
      <c r="H1" s="3" t="s">
        <v>3</v>
      </c>
      <c r="I1" s="3" t="s">
        <v>5</v>
      </c>
      <c r="J1" s="3" t="s">
        <v>7</v>
      </c>
    </row>
    <row r="2" spans="1:10" ht="60" x14ac:dyDescent="0.25">
      <c r="A2" t="s">
        <v>46</v>
      </c>
      <c r="B2" t="s">
        <v>103</v>
      </c>
      <c r="C2">
        <v>55</v>
      </c>
      <c r="D2">
        <v>0</v>
      </c>
      <c r="E2" t="s">
        <v>0</v>
      </c>
      <c r="F2" t="s">
        <v>0</v>
      </c>
      <c r="G2" s="3" t="s">
        <v>9</v>
      </c>
      <c r="H2" s="3" t="s">
        <v>37</v>
      </c>
    </row>
    <row r="3" spans="1:10" ht="105" x14ac:dyDescent="0.25">
      <c r="A3" t="s">
        <v>47</v>
      </c>
      <c r="B3" t="s">
        <v>106</v>
      </c>
      <c r="C3">
        <v>13</v>
      </c>
      <c r="D3">
        <v>0</v>
      </c>
      <c r="E3" t="s">
        <v>56</v>
      </c>
      <c r="F3" t="s">
        <v>0</v>
      </c>
      <c r="G3" s="3" t="s">
        <v>24</v>
      </c>
    </row>
    <row r="4" spans="1:10" ht="65.25" customHeight="1" x14ac:dyDescent="0.25">
      <c r="A4" t="s">
        <v>81</v>
      </c>
      <c r="B4" t="s">
        <v>107</v>
      </c>
      <c r="C4">
        <v>26</v>
      </c>
      <c r="D4">
        <v>4</v>
      </c>
      <c r="E4" t="s">
        <v>0</v>
      </c>
      <c r="F4" t="s">
        <v>53</v>
      </c>
      <c r="G4" s="3" t="s">
        <v>15</v>
      </c>
      <c r="H4" s="3" t="s">
        <v>73</v>
      </c>
      <c r="I4" s="3" t="s">
        <v>125</v>
      </c>
    </row>
    <row r="5" spans="1:10" ht="105" x14ac:dyDescent="0.25">
      <c r="A5" t="s">
        <v>49</v>
      </c>
      <c r="B5" t="s">
        <v>108</v>
      </c>
      <c r="C5">
        <v>44</v>
      </c>
      <c r="D5">
        <v>1</v>
      </c>
      <c r="E5" t="s">
        <v>67</v>
      </c>
      <c r="F5" t="s">
        <v>0</v>
      </c>
      <c r="G5" s="3" t="s">
        <v>19</v>
      </c>
      <c r="H5" s="3" t="s">
        <v>51</v>
      </c>
      <c r="I5" s="3" t="s">
        <v>71</v>
      </c>
      <c r="J5" s="3" t="s">
        <v>27</v>
      </c>
    </row>
    <row r="6" spans="1:10" x14ac:dyDescent="0.25">
      <c r="A6" t="s">
        <v>84</v>
      </c>
      <c r="B6" t="s">
        <v>112</v>
      </c>
      <c r="C6">
        <v>10</v>
      </c>
      <c r="D6">
        <v>2</v>
      </c>
      <c r="E6" t="s">
        <v>0</v>
      </c>
      <c r="F6" t="s">
        <v>0</v>
      </c>
    </row>
    <row r="7" spans="1:10" x14ac:dyDescent="0.25">
      <c r="A7" t="s">
        <v>74</v>
      </c>
      <c r="B7" t="s">
        <v>113</v>
      </c>
      <c r="C7">
        <v>1</v>
      </c>
      <c r="D7">
        <v>0</v>
      </c>
      <c r="E7" t="s">
        <v>0</v>
      </c>
      <c r="F7" t="s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AE59-91BC-4887-9E03-A9E5FE443C7F}">
  <dimension ref="A1:J7"/>
  <sheetViews>
    <sheetView topLeftCell="F1" workbookViewId="0">
      <selection activeCell="G7" sqref="G7"/>
    </sheetView>
  </sheetViews>
  <sheetFormatPr defaultRowHeight="15" x14ac:dyDescent="0.25"/>
  <cols>
    <col min="1" max="1" width="40.140625" bestFit="1" customWidth="1"/>
    <col min="2" max="2" width="40.14062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0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</row>
    <row r="2" spans="1:10" x14ac:dyDescent="0.25">
      <c r="A2" t="s">
        <v>46</v>
      </c>
      <c r="B2" t="s">
        <v>103</v>
      </c>
      <c r="C2">
        <v>55</v>
      </c>
      <c r="D2">
        <v>0</v>
      </c>
      <c r="E2">
        <v>0</v>
      </c>
      <c r="F2">
        <v>0</v>
      </c>
      <c r="G2" t="s">
        <v>9</v>
      </c>
    </row>
    <row r="3" spans="1:10" x14ac:dyDescent="0.25">
      <c r="A3" t="s">
        <v>47</v>
      </c>
      <c r="B3" t="s">
        <v>106</v>
      </c>
      <c r="C3">
        <v>13</v>
      </c>
      <c r="D3">
        <v>0</v>
      </c>
      <c r="E3">
        <v>4</v>
      </c>
      <c r="F3">
        <v>4</v>
      </c>
      <c r="G3" t="s">
        <v>24</v>
      </c>
    </row>
    <row r="4" spans="1:10" x14ac:dyDescent="0.25">
      <c r="A4" t="s">
        <v>48</v>
      </c>
      <c r="B4" t="s">
        <v>105</v>
      </c>
      <c r="C4">
        <v>13</v>
      </c>
      <c r="D4">
        <v>0</v>
      </c>
      <c r="E4">
        <v>0</v>
      </c>
      <c r="F4">
        <v>0</v>
      </c>
    </row>
    <row r="5" spans="1:10" x14ac:dyDescent="0.25">
      <c r="A5" t="s">
        <v>49</v>
      </c>
      <c r="B5" t="s">
        <v>108</v>
      </c>
      <c r="C5">
        <v>81</v>
      </c>
      <c r="D5">
        <v>4</v>
      </c>
      <c r="E5">
        <v>8</v>
      </c>
      <c r="F5">
        <v>0</v>
      </c>
      <c r="G5" t="s">
        <v>19</v>
      </c>
      <c r="H5" t="s">
        <v>51</v>
      </c>
      <c r="I5" t="s">
        <v>52</v>
      </c>
      <c r="J5" t="s">
        <v>27</v>
      </c>
    </row>
    <row r="6" spans="1:10" x14ac:dyDescent="0.25">
      <c r="A6" t="s">
        <v>84</v>
      </c>
      <c r="B6" t="s">
        <v>112</v>
      </c>
      <c r="C6">
        <v>6</v>
      </c>
      <c r="D6">
        <v>2</v>
      </c>
      <c r="E6">
        <v>0</v>
      </c>
      <c r="F6">
        <v>0</v>
      </c>
    </row>
    <row r="7" spans="1:10" x14ac:dyDescent="0.25">
      <c r="A7" t="s">
        <v>81</v>
      </c>
      <c r="B7" t="s">
        <v>107</v>
      </c>
      <c r="C7">
        <v>16</v>
      </c>
      <c r="D7">
        <v>6</v>
      </c>
      <c r="E7">
        <v>2</v>
      </c>
      <c r="F7">
        <v>2</v>
      </c>
      <c r="G7" t="s">
        <v>15</v>
      </c>
      <c r="H7" t="s">
        <v>16</v>
      </c>
      <c r="I7" t="s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3304-BBB5-4347-945A-7FCD716A6CA6}">
  <dimension ref="A1:J6"/>
  <sheetViews>
    <sheetView workbookViewId="0">
      <selection activeCell="D2" sqref="D2"/>
    </sheetView>
  </sheetViews>
  <sheetFormatPr defaultRowHeight="15" x14ac:dyDescent="0.25"/>
  <cols>
    <col min="1" max="1" width="40.140625" bestFit="1" customWidth="1"/>
    <col min="2" max="2" width="40.140625" customWidth="1"/>
    <col min="3" max="3" width="33.28515625" bestFit="1" customWidth="1"/>
    <col min="4" max="4" width="53.42578125" bestFit="1" customWidth="1"/>
    <col min="5" max="5" width="35.5703125" bestFit="1" customWidth="1"/>
    <col min="6" max="6" width="30.42578125" bestFit="1" customWidth="1"/>
  </cols>
  <sheetData>
    <row r="1" spans="1:10" x14ac:dyDescent="0.25">
      <c r="A1" t="s">
        <v>120</v>
      </c>
      <c r="B1" t="s">
        <v>102</v>
      </c>
      <c r="C1" t="s">
        <v>75</v>
      </c>
      <c r="D1" t="s">
        <v>76</v>
      </c>
      <c r="E1" t="s">
        <v>77</v>
      </c>
      <c r="F1" t="s">
        <v>78</v>
      </c>
      <c r="G1" t="s">
        <v>2</v>
      </c>
      <c r="H1" t="s">
        <v>3</v>
      </c>
      <c r="I1" t="s">
        <v>5</v>
      </c>
      <c r="J1" t="s">
        <v>7</v>
      </c>
    </row>
    <row r="2" spans="1:10" x14ac:dyDescent="0.25">
      <c r="A2" t="s">
        <v>46</v>
      </c>
      <c r="B2" t="s">
        <v>103</v>
      </c>
      <c r="C2">
        <v>36</v>
      </c>
      <c r="D2">
        <v>0</v>
      </c>
      <c r="E2">
        <v>0</v>
      </c>
      <c r="F2">
        <v>0</v>
      </c>
      <c r="G2" t="s">
        <v>9</v>
      </c>
    </row>
    <row r="3" spans="1:10" x14ac:dyDescent="0.25">
      <c r="A3" t="s">
        <v>47</v>
      </c>
      <c r="B3" t="s">
        <v>106</v>
      </c>
      <c r="C3">
        <v>9</v>
      </c>
      <c r="D3">
        <v>0</v>
      </c>
      <c r="E3">
        <v>1</v>
      </c>
      <c r="F3">
        <v>0</v>
      </c>
      <c r="G3" t="s">
        <v>24</v>
      </c>
    </row>
    <row r="4" spans="1:10" x14ac:dyDescent="0.25">
      <c r="A4" t="s">
        <v>48</v>
      </c>
      <c r="B4" t="s">
        <v>105</v>
      </c>
      <c r="C4">
        <v>14</v>
      </c>
      <c r="D4">
        <v>0</v>
      </c>
      <c r="E4">
        <v>0</v>
      </c>
      <c r="F4">
        <v>0</v>
      </c>
    </row>
    <row r="5" spans="1:10" x14ac:dyDescent="0.25">
      <c r="A5" t="s">
        <v>81</v>
      </c>
      <c r="B5" t="s">
        <v>107</v>
      </c>
      <c r="C5">
        <v>27</v>
      </c>
      <c r="D5">
        <v>6</v>
      </c>
      <c r="E5">
        <v>0</v>
      </c>
      <c r="F5">
        <v>3</v>
      </c>
      <c r="G5" t="s">
        <v>15</v>
      </c>
      <c r="H5" t="s">
        <v>50</v>
      </c>
    </row>
    <row r="6" spans="1:10" x14ac:dyDescent="0.25">
      <c r="A6" t="s">
        <v>49</v>
      </c>
      <c r="B6" t="s">
        <v>108</v>
      </c>
      <c r="C6">
        <v>80</v>
      </c>
      <c r="D6">
        <v>3</v>
      </c>
      <c r="E6">
        <v>8</v>
      </c>
      <c r="F6">
        <v>0</v>
      </c>
      <c r="G6" t="s">
        <v>19</v>
      </c>
      <c r="H6" t="s">
        <v>51</v>
      </c>
      <c r="I6" t="s">
        <v>52</v>
      </c>
      <c r="J6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458A-A5A7-4D12-A83B-4B47495F0051}">
  <dimension ref="A1:T12"/>
  <sheetViews>
    <sheetView workbookViewId="0">
      <selection activeCell="A12" sqref="A12"/>
    </sheetView>
  </sheetViews>
  <sheetFormatPr defaultRowHeight="15" x14ac:dyDescent="0.25"/>
  <cols>
    <col min="1" max="2" width="34.5703125" style="4" customWidth="1"/>
    <col min="3" max="3" width="33.42578125" style="4" customWidth="1"/>
    <col min="4" max="5" width="32" style="4" customWidth="1"/>
    <col min="6" max="6" width="37.42578125" style="4" customWidth="1"/>
    <col min="7" max="8" width="37.85546875" style="4" customWidth="1"/>
    <col min="9" max="9" width="34.28515625" style="4" customWidth="1"/>
    <col min="10" max="11" width="31.85546875" style="4" customWidth="1"/>
    <col min="12" max="12" width="32.42578125" style="4" customWidth="1"/>
    <col min="13" max="14" width="9.140625" style="4"/>
    <col min="15" max="15" width="11.85546875" style="4" customWidth="1"/>
    <col min="16" max="16384" width="9.140625" style="4"/>
  </cols>
  <sheetData>
    <row r="1" spans="1:20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94</v>
      </c>
      <c r="G1" s="4" t="s">
        <v>95</v>
      </c>
      <c r="H1" s="4" t="s">
        <v>77</v>
      </c>
      <c r="I1" s="4" t="s">
        <v>97</v>
      </c>
      <c r="J1" s="4" t="s">
        <v>96</v>
      </c>
      <c r="K1" s="4" t="s">
        <v>98</v>
      </c>
      <c r="L1" s="4" t="s">
        <v>2</v>
      </c>
      <c r="M1" s="4" t="s">
        <v>3</v>
      </c>
      <c r="N1" s="4" t="s">
        <v>5</v>
      </c>
      <c r="O1" s="4" t="s">
        <v>7</v>
      </c>
      <c r="P1" s="4" t="s">
        <v>8</v>
      </c>
      <c r="Q1" s="4" t="s">
        <v>11</v>
      </c>
      <c r="R1" s="4" t="s">
        <v>35</v>
      </c>
      <c r="S1" s="4" t="s">
        <v>36</v>
      </c>
      <c r="T1" s="4" t="s">
        <v>91</v>
      </c>
    </row>
    <row r="2" spans="1:20" x14ac:dyDescent="0.25">
      <c r="A2" s="5" t="s">
        <v>90</v>
      </c>
      <c r="B2" s="1" t="s">
        <v>111</v>
      </c>
      <c r="E2" s="4">
        <f>SUM(C2:D2)</f>
        <v>0</v>
      </c>
      <c r="H2" s="4">
        <f>SUM(F2:G2)</f>
        <v>0</v>
      </c>
      <c r="I2" s="4">
        <v>0</v>
      </c>
      <c r="J2" s="4">
        <v>0</v>
      </c>
    </row>
    <row r="3" spans="1:20" x14ac:dyDescent="0.25">
      <c r="A3" s="4" t="s">
        <v>100</v>
      </c>
      <c r="B3" s="4" t="s">
        <v>117</v>
      </c>
      <c r="E3" s="4">
        <f t="shared" ref="E3:E12" si="0">SUM(C3:D3)</f>
        <v>0</v>
      </c>
      <c r="H3" s="4">
        <f t="shared" ref="H3:H11" si="1">SUM(F3:G3)</f>
        <v>0</v>
      </c>
      <c r="I3" s="4">
        <v>0</v>
      </c>
      <c r="J3" s="4">
        <v>0</v>
      </c>
    </row>
    <row r="4" spans="1:20" x14ac:dyDescent="0.25">
      <c r="A4" s="5" t="s">
        <v>74</v>
      </c>
      <c r="B4" s="1" t="s">
        <v>113</v>
      </c>
      <c r="E4" s="4">
        <f t="shared" si="0"/>
        <v>0</v>
      </c>
      <c r="H4" s="4">
        <f t="shared" si="1"/>
        <v>0</v>
      </c>
      <c r="I4" s="4">
        <v>0</v>
      </c>
      <c r="J4" s="4">
        <v>0</v>
      </c>
    </row>
    <row r="5" spans="1:20" x14ac:dyDescent="0.25">
      <c r="A5" s="4" t="s">
        <v>47</v>
      </c>
      <c r="B5" s="1" t="s">
        <v>106</v>
      </c>
      <c r="C5" s="4">
        <v>17</v>
      </c>
      <c r="D5" s="4">
        <v>0</v>
      </c>
      <c r="E5" s="4">
        <f t="shared" si="0"/>
        <v>17</v>
      </c>
      <c r="H5" s="4">
        <f t="shared" si="1"/>
        <v>0</v>
      </c>
      <c r="I5" s="4">
        <v>0</v>
      </c>
      <c r="J5" s="4">
        <v>0</v>
      </c>
    </row>
    <row r="6" spans="1:20" x14ac:dyDescent="0.25">
      <c r="A6" s="4" t="s">
        <v>46</v>
      </c>
      <c r="B6" s="1" t="s">
        <v>103</v>
      </c>
      <c r="C6" s="4">
        <v>2</v>
      </c>
      <c r="D6" s="4">
        <v>0</v>
      </c>
      <c r="E6" s="4">
        <f t="shared" si="0"/>
        <v>2</v>
      </c>
      <c r="H6" s="4">
        <f t="shared" si="1"/>
        <v>0</v>
      </c>
      <c r="I6" s="4">
        <v>0</v>
      </c>
      <c r="J6" s="4">
        <v>0</v>
      </c>
      <c r="L6" s="4" t="s">
        <v>128</v>
      </c>
      <c r="M6" s="4" t="s">
        <v>37</v>
      </c>
    </row>
    <row r="7" spans="1:20" x14ac:dyDescent="0.25">
      <c r="A7" s="4" t="s">
        <v>99</v>
      </c>
      <c r="B7" s="1" t="s">
        <v>119</v>
      </c>
      <c r="C7" s="4">
        <v>23</v>
      </c>
      <c r="D7" s="4">
        <v>14</v>
      </c>
      <c r="E7" s="4">
        <f t="shared" si="0"/>
        <v>37</v>
      </c>
      <c r="H7" s="4">
        <f t="shared" si="1"/>
        <v>0</v>
      </c>
      <c r="I7" s="4">
        <v>0</v>
      </c>
      <c r="J7" s="4">
        <v>0</v>
      </c>
      <c r="L7" s="4" t="s">
        <v>129</v>
      </c>
    </row>
    <row r="8" spans="1:20" x14ac:dyDescent="0.25">
      <c r="A8" s="4" t="s">
        <v>101</v>
      </c>
      <c r="B8" s="1" t="s">
        <v>118</v>
      </c>
      <c r="C8" s="4">
        <v>0</v>
      </c>
      <c r="D8" s="4">
        <v>0</v>
      </c>
      <c r="E8" s="4">
        <f t="shared" si="0"/>
        <v>0</v>
      </c>
      <c r="H8" s="4">
        <f t="shared" si="1"/>
        <v>0</v>
      </c>
      <c r="I8" s="4">
        <v>0</v>
      </c>
      <c r="J8" s="4">
        <v>0</v>
      </c>
    </row>
    <row r="9" spans="1:20" x14ac:dyDescent="0.25">
      <c r="A9" s="4" t="s">
        <v>84</v>
      </c>
      <c r="B9" s="1" t="s">
        <v>112</v>
      </c>
      <c r="C9" s="4">
        <v>7</v>
      </c>
      <c r="D9" s="4">
        <v>1</v>
      </c>
      <c r="E9" s="4">
        <f t="shared" si="0"/>
        <v>8</v>
      </c>
      <c r="H9" s="4">
        <f t="shared" si="1"/>
        <v>0</v>
      </c>
      <c r="I9" s="4">
        <v>0</v>
      </c>
      <c r="J9" s="4">
        <v>0</v>
      </c>
    </row>
    <row r="10" spans="1:20" x14ac:dyDescent="0.25">
      <c r="A10" s="4" t="s">
        <v>48</v>
      </c>
      <c r="B10" s="1" t="s">
        <v>105</v>
      </c>
      <c r="C10" s="4">
        <v>12</v>
      </c>
      <c r="D10" s="4">
        <v>0</v>
      </c>
      <c r="E10" s="4">
        <f t="shared" si="0"/>
        <v>12</v>
      </c>
      <c r="H10" s="4">
        <f t="shared" si="1"/>
        <v>0</v>
      </c>
      <c r="I10" s="4">
        <v>0</v>
      </c>
      <c r="J10" s="4">
        <v>0</v>
      </c>
    </row>
    <row r="11" spans="1:20" x14ac:dyDescent="0.25">
      <c r="A11" s="4" t="s">
        <v>49</v>
      </c>
      <c r="B11" s="1" t="s">
        <v>108</v>
      </c>
      <c r="C11" s="4">
        <v>187</v>
      </c>
      <c r="D11" s="4">
        <v>4</v>
      </c>
      <c r="E11" s="4">
        <f t="shared" si="0"/>
        <v>191</v>
      </c>
      <c r="F11" s="4">
        <v>5</v>
      </c>
      <c r="G11" s="4">
        <v>2</v>
      </c>
      <c r="H11" s="4">
        <f t="shared" si="1"/>
        <v>7</v>
      </c>
      <c r="I11" s="4">
        <v>0</v>
      </c>
      <c r="J11" s="4">
        <v>0</v>
      </c>
      <c r="L11" s="4" t="s">
        <v>130</v>
      </c>
      <c r="M11" s="4" t="s">
        <v>131</v>
      </c>
      <c r="O11" s="4" t="s">
        <v>93</v>
      </c>
      <c r="P11" s="4" t="s">
        <v>19</v>
      </c>
    </row>
    <row r="12" spans="1:20" x14ac:dyDescent="0.25">
      <c r="A12" s="5" t="s">
        <v>81</v>
      </c>
      <c r="B12" s="1" t="s">
        <v>107</v>
      </c>
      <c r="C12" s="4">
        <v>21</v>
      </c>
      <c r="D12" s="4">
        <v>0</v>
      </c>
      <c r="E12" s="4">
        <f t="shared" si="0"/>
        <v>21</v>
      </c>
      <c r="L12" s="4" t="s">
        <v>15</v>
      </c>
      <c r="M12" s="4" t="s">
        <v>50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8B10-4F72-480F-9E18-DA1DFCB57E49}">
  <dimension ref="A1:T12"/>
  <sheetViews>
    <sheetView workbookViewId="0">
      <selection activeCell="A11" sqref="A11"/>
    </sheetView>
  </sheetViews>
  <sheetFormatPr defaultRowHeight="15" x14ac:dyDescent="0.25"/>
  <cols>
    <col min="1" max="2" width="43.140625" style="4" customWidth="1"/>
    <col min="3" max="3" width="19" style="4" customWidth="1"/>
    <col min="4" max="5" width="32" style="4" customWidth="1"/>
    <col min="6" max="6" width="37.42578125" style="4" customWidth="1"/>
    <col min="7" max="8" width="37.85546875" style="4" customWidth="1"/>
    <col min="9" max="9" width="34.28515625" style="4" customWidth="1"/>
    <col min="10" max="11" width="31.85546875" style="4" customWidth="1"/>
    <col min="12" max="12" width="32.42578125" style="4" customWidth="1"/>
    <col min="13" max="14" width="9.140625" style="4"/>
    <col min="15" max="15" width="11.85546875" style="4" customWidth="1"/>
    <col min="16" max="16384" width="9.140625" style="4"/>
  </cols>
  <sheetData>
    <row r="1" spans="1:20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94</v>
      </c>
      <c r="G1" s="4" t="s">
        <v>95</v>
      </c>
      <c r="H1" s="4" t="s">
        <v>77</v>
      </c>
      <c r="I1" s="4" t="s">
        <v>97</v>
      </c>
      <c r="J1" s="4" t="s">
        <v>96</v>
      </c>
      <c r="K1" s="4" t="s">
        <v>98</v>
      </c>
      <c r="L1" s="4" t="s">
        <v>2</v>
      </c>
      <c r="M1" s="4" t="s">
        <v>3</v>
      </c>
      <c r="N1" s="4" t="s">
        <v>5</v>
      </c>
      <c r="O1" s="4" t="s">
        <v>7</v>
      </c>
      <c r="P1" s="4" t="s">
        <v>8</v>
      </c>
      <c r="Q1" s="4" t="s">
        <v>11</v>
      </c>
      <c r="R1" s="4" t="s">
        <v>35</v>
      </c>
      <c r="S1" s="4" t="s">
        <v>36</v>
      </c>
      <c r="T1" s="4" t="s">
        <v>91</v>
      </c>
    </row>
    <row r="2" spans="1:20" x14ac:dyDescent="0.25">
      <c r="A2" s="5" t="s">
        <v>90</v>
      </c>
      <c r="B2" s="1" t="s">
        <v>111</v>
      </c>
      <c r="E2" s="4">
        <f>SUM(C2:D2)</f>
        <v>0</v>
      </c>
      <c r="H2" s="4">
        <f>SUM(F2:G2)</f>
        <v>0</v>
      </c>
      <c r="I2" s="4">
        <v>0</v>
      </c>
      <c r="J2" s="4">
        <v>0</v>
      </c>
      <c r="K2" s="4">
        <v>0</v>
      </c>
    </row>
    <row r="3" spans="1:20" x14ac:dyDescent="0.25">
      <c r="A3" s="4" t="s">
        <v>100</v>
      </c>
      <c r="B3" s="4" t="s">
        <v>117</v>
      </c>
      <c r="E3" s="4">
        <f t="shared" ref="E3:E12" si="0">SUM(C3:D3)</f>
        <v>0</v>
      </c>
      <c r="H3" s="4">
        <f t="shared" ref="H3:H11" si="1">SUM(F3:G3)</f>
        <v>0</v>
      </c>
      <c r="I3" s="4">
        <v>0</v>
      </c>
      <c r="J3" s="4">
        <v>0</v>
      </c>
      <c r="K3" s="4">
        <v>0</v>
      </c>
    </row>
    <row r="4" spans="1:20" x14ac:dyDescent="0.25">
      <c r="A4" s="5" t="s">
        <v>74</v>
      </c>
      <c r="B4" s="1" t="s">
        <v>113</v>
      </c>
      <c r="E4" s="4">
        <f t="shared" si="0"/>
        <v>0</v>
      </c>
      <c r="H4" s="4">
        <f t="shared" si="1"/>
        <v>0</v>
      </c>
      <c r="I4" s="4">
        <v>0</v>
      </c>
      <c r="J4" s="4">
        <v>0</v>
      </c>
      <c r="K4" s="4">
        <v>0</v>
      </c>
    </row>
    <row r="5" spans="1:20" x14ac:dyDescent="0.25">
      <c r="A5" s="4" t="s">
        <v>47</v>
      </c>
      <c r="B5" s="1" t="s">
        <v>106</v>
      </c>
      <c r="C5" s="4">
        <v>8</v>
      </c>
      <c r="D5" s="4">
        <v>0</v>
      </c>
      <c r="E5" s="4">
        <f t="shared" si="0"/>
        <v>8</v>
      </c>
      <c r="H5" s="4">
        <f t="shared" si="1"/>
        <v>0</v>
      </c>
      <c r="I5" s="4">
        <v>0</v>
      </c>
      <c r="J5" s="4">
        <v>0</v>
      </c>
      <c r="K5" s="4">
        <v>0</v>
      </c>
    </row>
    <row r="6" spans="1:20" x14ac:dyDescent="0.25">
      <c r="A6" s="4" t="s">
        <v>46</v>
      </c>
      <c r="B6" s="1" t="s">
        <v>103</v>
      </c>
      <c r="C6" s="4">
        <v>2</v>
      </c>
      <c r="D6" s="4">
        <v>0</v>
      </c>
      <c r="E6" s="4">
        <f t="shared" si="0"/>
        <v>2</v>
      </c>
      <c r="F6" s="4">
        <v>0</v>
      </c>
      <c r="H6" s="4">
        <f t="shared" si="1"/>
        <v>0</v>
      </c>
      <c r="I6" s="4">
        <v>0</v>
      </c>
      <c r="J6" s="4">
        <v>0</v>
      </c>
      <c r="K6" s="4">
        <v>0</v>
      </c>
      <c r="L6" s="4" t="s">
        <v>128</v>
      </c>
      <c r="M6" s="4" t="s">
        <v>37</v>
      </c>
    </row>
    <row r="7" spans="1:20" x14ac:dyDescent="0.25">
      <c r="A7" s="4" t="s">
        <v>99</v>
      </c>
      <c r="B7" s="1" t="s">
        <v>119</v>
      </c>
      <c r="C7" s="4">
        <v>0</v>
      </c>
      <c r="D7" s="4">
        <v>0</v>
      </c>
      <c r="E7" s="4">
        <f t="shared" si="0"/>
        <v>0</v>
      </c>
      <c r="H7" s="4">
        <f t="shared" si="1"/>
        <v>0</v>
      </c>
      <c r="I7" s="4">
        <v>0</v>
      </c>
      <c r="J7" s="4">
        <v>0</v>
      </c>
      <c r="K7" s="4">
        <v>0</v>
      </c>
      <c r="L7" s="4" t="s">
        <v>129</v>
      </c>
    </row>
    <row r="8" spans="1:20" x14ac:dyDescent="0.25">
      <c r="A8" s="4" t="s">
        <v>101</v>
      </c>
      <c r="B8" s="1" t="s">
        <v>118</v>
      </c>
      <c r="C8" s="4">
        <v>0</v>
      </c>
      <c r="D8" s="4">
        <v>0</v>
      </c>
      <c r="E8" s="4">
        <f t="shared" si="0"/>
        <v>0</v>
      </c>
      <c r="H8" s="4">
        <f t="shared" si="1"/>
        <v>0</v>
      </c>
      <c r="I8" s="4">
        <v>0</v>
      </c>
      <c r="J8" s="4">
        <v>0</v>
      </c>
      <c r="K8" s="4">
        <v>0</v>
      </c>
    </row>
    <row r="9" spans="1:20" x14ac:dyDescent="0.25">
      <c r="A9" s="4" t="s">
        <v>84</v>
      </c>
      <c r="B9" s="1" t="s">
        <v>112</v>
      </c>
      <c r="C9" s="4">
        <v>1</v>
      </c>
      <c r="D9" s="4">
        <v>2</v>
      </c>
      <c r="E9" s="4">
        <f t="shared" si="0"/>
        <v>3</v>
      </c>
      <c r="H9" s="4">
        <f t="shared" si="1"/>
        <v>0</v>
      </c>
      <c r="I9" s="4">
        <v>0</v>
      </c>
      <c r="J9" s="4">
        <v>0</v>
      </c>
      <c r="K9" s="4">
        <v>0</v>
      </c>
    </row>
    <row r="10" spans="1:20" x14ac:dyDescent="0.25">
      <c r="A10" s="4" t="s">
        <v>48</v>
      </c>
      <c r="B10" s="1" t="s">
        <v>105</v>
      </c>
      <c r="C10" s="4">
        <v>0</v>
      </c>
      <c r="D10" s="4">
        <v>0</v>
      </c>
      <c r="E10" s="4">
        <f t="shared" si="0"/>
        <v>0</v>
      </c>
      <c r="H10" s="4">
        <f t="shared" si="1"/>
        <v>0</v>
      </c>
      <c r="I10" s="4">
        <v>0</v>
      </c>
      <c r="J10" s="4">
        <v>0</v>
      </c>
      <c r="K10" s="4">
        <v>0</v>
      </c>
    </row>
    <row r="11" spans="1:20" x14ac:dyDescent="0.25">
      <c r="A11" s="4" t="s">
        <v>49</v>
      </c>
      <c r="B11" s="1" t="s">
        <v>108</v>
      </c>
      <c r="C11" s="4">
        <v>84</v>
      </c>
      <c r="D11" s="4">
        <v>6</v>
      </c>
      <c r="E11" s="4">
        <f t="shared" si="0"/>
        <v>90</v>
      </c>
      <c r="F11" s="4">
        <v>5</v>
      </c>
      <c r="G11" s="4">
        <v>2</v>
      </c>
      <c r="H11" s="4">
        <f t="shared" si="1"/>
        <v>7</v>
      </c>
      <c r="I11" s="4">
        <v>0</v>
      </c>
      <c r="J11" s="4">
        <v>0</v>
      </c>
      <c r="K11" s="4">
        <v>0</v>
      </c>
      <c r="L11" s="4" t="s">
        <v>131</v>
      </c>
      <c r="M11" s="4" t="s">
        <v>93</v>
      </c>
      <c r="N11" s="4" t="s">
        <v>19</v>
      </c>
      <c r="O11" s="4" t="s">
        <v>40</v>
      </c>
    </row>
    <row r="12" spans="1:20" x14ac:dyDescent="0.25">
      <c r="A12" s="5" t="s">
        <v>81</v>
      </c>
      <c r="B12" s="1" t="s">
        <v>107</v>
      </c>
      <c r="C12" s="4">
        <v>17</v>
      </c>
      <c r="D12" s="4">
        <v>3</v>
      </c>
      <c r="E12" s="4">
        <f t="shared" si="0"/>
        <v>20</v>
      </c>
      <c r="I12" s="4">
        <v>0</v>
      </c>
      <c r="J12" s="4">
        <v>0</v>
      </c>
      <c r="K12" s="4">
        <v>0</v>
      </c>
      <c r="L12" s="4" t="s">
        <v>16</v>
      </c>
      <c r="M12" s="4" t="s">
        <v>50</v>
      </c>
      <c r="N12" s="4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B336-E8CC-47A2-9CC3-2CF5137CB279}">
  <dimension ref="A1:T12"/>
  <sheetViews>
    <sheetView topLeftCell="G1" workbookViewId="0">
      <selection activeCell="E15" sqref="E15"/>
    </sheetView>
  </sheetViews>
  <sheetFormatPr defaultRowHeight="15" x14ac:dyDescent="0.25"/>
  <cols>
    <col min="1" max="1" width="44.42578125" style="4" customWidth="1"/>
    <col min="2" max="2" width="26" style="4" customWidth="1"/>
    <col min="3" max="3" width="33.42578125" style="4" customWidth="1"/>
    <col min="4" max="5" width="32" style="4" customWidth="1"/>
    <col min="6" max="6" width="37.42578125" style="4" customWidth="1"/>
    <col min="7" max="8" width="37.85546875" style="4" customWidth="1"/>
    <col min="9" max="9" width="34.28515625" style="4" customWidth="1"/>
    <col min="10" max="11" width="31.85546875" style="4" customWidth="1"/>
    <col min="12" max="12" width="32.42578125" style="4" customWidth="1"/>
    <col min="13" max="14" width="9.140625" style="4"/>
    <col min="15" max="15" width="11.85546875" style="4" customWidth="1"/>
    <col min="16" max="16384" width="9.140625" style="4"/>
  </cols>
  <sheetData>
    <row r="1" spans="1:20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94</v>
      </c>
      <c r="G1" s="4" t="s">
        <v>95</v>
      </c>
      <c r="H1" s="4" t="s">
        <v>77</v>
      </c>
      <c r="I1" s="4" t="s">
        <v>97</v>
      </c>
      <c r="J1" s="4" t="s">
        <v>96</v>
      </c>
      <c r="K1" s="4" t="s">
        <v>98</v>
      </c>
      <c r="L1" s="4" t="s">
        <v>2</v>
      </c>
      <c r="M1" s="4" t="s">
        <v>3</v>
      </c>
      <c r="N1" s="4" t="s">
        <v>5</v>
      </c>
      <c r="O1" s="4" t="s">
        <v>7</v>
      </c>
      <c r="P1" s="4" t="s">
        <v>8</v>
      </c>
      <c r="Q1" s="4" t="s">
        <v>11</v>
      </c>
      <c r="R1" s="4" t="s">
        <v>35</v>
      </c>
      <c r="S1" s="4" t="s">
        <v>36</v>
      </c>
      <c r="T1" s="4" t="s">
        <v>91</v>
      </c>
    </row>
    <row r="2" spans="1:20" x14ac:dyDescent="0.25">
      <c r="A2" s="5" t="s">
        <v>90</v>
      </c>
      <c r="B2" s="1" t="s">
        <v>111</v>
      </c>
      <c r="E2" s="4">
        <f>SUM(C2:D2)</f>
        <v>0</v>
      </c>
      <c r="H2" s="4">
        <f>SUM(F2:G2)</f>
        <v>0</v>
      </c>
      <c r="I2" s="4">
        <v>0</v>
      </c>
      <c r="J2" s="4">
        <v>0</v>
      </c>
      <c r="K2" s="4">
        <v>0</v>
      </c>
    </row>
    <row r="3" spans="1:20" x14ac:dyDescent="0.25">
      <c r="A3" s="4" t="s">
        <v>100</v>
      </c>
      <c r="B3" s="4" t="s">
        <v>117</v>
      </c>
      <c r="E3" s="4">
        <f t="shared" ref="E3:E12" si="0">SUM(C3:D3)</f>
        <v>0</v>
      </c>
      <c r="H3" s="4">
        <f t="shared" ref="H3:H11" si="1">SUM(F3:G3)</f>
        <v>0</v>
      </c>
      <c r="I3" s="4">
        <v>0</v>
      </c>
      <c r="J3" s="4">
        <v>0</v>
      </c>
      <c r="K3" s="4">
        <v>0</v>
      </c>
    </row>
    <row r="4" spans="1:20" x14ac:dyDescent="0.25">
      <c r="A4" s="5" t="s">
        <v>74</v>
      </c>
      <c r="B4" s="1" t="s">
        <v>113</v>
      </c>
      <c r="E4" s="4">
        <f t="shared" si="0"/>
        <v>0</v>
      </c>
      <c r="H4" s="4">
        <f t="shared" si="1"/>
        <v>0</v>
      </c>
      <c r="I4" s="4">
        <v>0</v>
      </c>
      <c r="J4" s="4">
        <v>0</v>
      </c>
      <c r="K4" s="4">
        <v>0</v>
      </c>
    </row>
    <row r="5" spans="1:20" x14ac:dyDescent="0.25">
      <c r="A5" s="4" t="s">
        <v>47</v>
      </c>
      <c r="B5" s="1" t="s">
        <v>106</v>
      </c>
      <c r="C5" s="4">
        <v>8</v>
      </c>
      <c r="E5" s="4">
        <f t="shared" si="0"/>
        <v>8</v>
      </c>
      <c r="H5" s="4">
        <f t="shared" si="1"/>
        <v>0</v>
      </c>
      <c r="I5" s="4">
        <v>0</v>
      </c>
      <c r="J5" s="4">
        <v>0</v>
      </c>
      <c r="K5" s="4">
        <v>0</v>
      </c>
    </row>
    <row r="6" spans="1:20" x14ac:dyDescent="0.25">
      <c r="A6" s="4" t="s">
        <v>46</v>
      </c>
      <c r="B6" s="1" t="s">
        <v>103</v>
      </c>
      <c r="C6" s="4">
        <v>3</v>
      </c>
      <c r="D6" s="4">
        <v>0</v>
      </c>
      <c r="E6" s="4">
        <f t="shared" si="0"/>
        <v>3</v>
      </c>
      <c r="F6" s="4">
        <v>0</v>
      </c>
      <c r="H6" s="4">
        <f t="shared" si="1"/>
        <v>0</v>
      </c>
      <c r="I6" s="4">
        <v>0</v>
      </c>
      <c r="J6" s="4">
        <v>0</v>
      </c>
      <c r="K6" s="4">
        <v>0</v>
      </c>
      <c r="L6" s="4" t="s">
        <v>128</v>
      </c>
      <c r="M6" s="4" t="s">
        <v>37</v>
      </c>
    </row>
    <row r="7" spans="1:20" x14ac:dyDescent="0.25">
      <c r="A7" s="4" t="s">
        <v>99</v>
      </c>
      <c r="B7" s="1" t="s">
        <v>119</v>
      </c>
      <c r="C7" s="4">
        <v>0</v>
      </c>
      <c r="E7" s="4">
        <f t="shared" si="0"/>
        <v>0</v>
      </c>
      <c r="H7" s="4">
        <f t="shared" si="1"/>
        <v>0</v>
      </c>
      <c r="I7" s="4">
        <v>0</v>
      </c>
      <c r="J7" s="4">
        <v>0</v>
      </c>
      <c r="K7" s="4">
        <v>0</v>
      </c>
      <c r="L7" s="4" t="s">
        <v>129</v>
      </c>
    </row>
    <row r="8" spans="1:20" x14ac:dyDescent="0.25">
      <c r="A8" s="4" t="s">
        <v>101</v>
      </c>
      <c r="B8" s="1" t="s">
        <v>118</v>
      </c>
      <c r="C8" s="4">
        <v>0</v>
      </c>
      <c r="E8" s="4">
        <f t="shared" si="0"/>
        <v>0</v>
      </c>
      <c r="H8" s="4">
        <f t="shared" si="1"/>
        <v>0</v>
      </c>
      <c r="I8" s="4">
        <v>0</v>
      </c>
      <c r="J8" s="4">
        <v>0</v>
      </c>
      <c r="K8" s="4">
        <v>0</v>
      </c>
    </row>
    <row r="9" spans="1:20" x14ac:dyDescent="0.25">
      <c r="A9" s="4" t="s">
        <v>84</v>
      </c>
      <c r="B9" s="1" t="s">
        <v>112</v>
      </c>
      <c r="C9" s="4">
        <v>1</v>
      </c>
      <c r="E9" s="4">
        <f t="shared" si="0"/>
        <v>1</v>
      </c>
      <c r="H9" s="4">
        <f t="shared" si="1"/>
        <v>0</v>
      </c>
      <c r="I9" s="4">
        <v>0</v>
      </c>
      <c r="J9" s="4">
        <v>0</v>
      </c>
      <c r="K9" s="4">
        <v>0</v>
      </c>
    </row>
    <row r="10" spans="1:20" x14ac:dyDescent="0.25">
      <c r="A10" s="4" t="s">
        <v>48</v>
      </c>
      <c r="B10" s="1" t="s">
        <v>105</v>
      </c>
      <c r="C10" s="4">
        <v>0</v>
      </c>
      <c r="E10" s="4">
        <f t="shared" si="0"/>
        <v>0</v>
      </c>
      <c r="H10" s="4">
        <f t="shared" si="1"/>
        <v>0</v>
      </c>
      <c r="I10" s="4">
        <v>0</v>
      </c>
      <c r="J10" s="4">
        <v>0</v>
      </c>
      <c r="K10" s="4">
        <v>0</v>
      </c>
    </row>
    <row r="11" spans="1:20" x14ac:dyDescent="0.25">
      <c r="A11" s="4" t="s">
        <v>49</v>
      </c>
      <c r="B11" s="1" t="s">
        <v>108</v>
      </c>
      <c r="C11" s="4">
        <v>186</v>
      </c>
      <c r="D11" s="4">
        <v>5</v>
      </c>
      <c r="E11" s="4">
        <f t="shared" si="0"/>
        <v>191</v>
      </c>
      <c r="F11" s="4">
        <v>5</v>
      </c>
      <c r="G11" s="4">
        <v>2</v>
      </c>
      <c r="H11" s="4">
        <f t="shared" si="1"/>
        <v>7</v>
      </c>
      <c r="I11" s="4">
        <v>0</v>
      </c>
      <c r="J11" s="4">
        <v>0</v>
      </c>
      <c r="K11" s="4">
        <v>0</v>
      </c>
      <c r="L11" s="4" t="s">
        <v>131</v>
      </c>
      <c r="M11" s="4" t="s">
        <v>93</v>
      </c>
      <c r="N11" s="4" t="s">
        <v>19</v>
      </c>
      <c r="O11" s="4" t="s">
        <v>130</v>
      </c>
    </row>
    <row r="12" spans="1:20" x14ac:dyDescent="0.25">
      <c r="A12" s="5" t="s">
        <v>81</v>
      </c>
      <c r="B12" s="1" t="s">
        <v>107</v>
      </c>
      <c r="C12" s="4">
        <v>7</v>
      </c>
      <c r="D12" s="4">
        <v>1</v>
      </c>
      <c r="E12" s="4">
        <f t="shared" si="0"/>
        <v>8</v>
      </c>
      <c r="L12" s="4" t="s">
        <v>15</v>
      </c>
      <c r="M12" s="4" t="s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6E48-8651-4F1B-9C6D-058C62944F09}">
  <dimension ref="A1:T12"/>
  <sheetViews>
    <sheetView topLeftCell="G1" workbookViewId="0">
      <selection activeCell="L11" sqref="L11:N11"/>
    </sheetView>
  </sheetViews>
  <sheetFormatPr defaultRowHeight="15" x14ac:dyDescent="0.25"/>
  <cols>
    <col min="1" max="1" width="41.5703125" style="4" customWidth="1"/>
    <col min="2" max="2" width="26" style="4" customWidth="1"/>
    <col min="3" max="3" width="33.42578125" style="4" customWidth="1"/>
    <col min="4" max="5" width="32" style="4" customWidth="1"/>
    <col min="6" max="6" width="37.42578125" style="4" customWidth="1"/>
    <col min="7" max="8" width="37.85546875" style="4" customWidth="1"/>
    <col min="9" max="9" width="34.28515625" style="4" customWidth="1"/>
    <col min="10" max="11" width="31.85546875" style="4" customWidth="1"/>
    <col min="12" max="12" width="32.42578125" style="4" customWidth="1"/>
    <col min="13" max="14" width="9.140625" style="4"/>
    <col min="15" max="15" width="11.85546875" style="4" customWidth="1"/>
    <col min="16" max="16384" width="9.140625" style="4"/>
  </cols>
  <sheetData>
    <row r="1" spans="1:20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94</v>
      </c>
      <c r="G1" s="4" t="s">
        <v>95</v>
      </c>
      <c r="H1" s="4" t="s">
        <v>77</v>
      </c>
      <c r="I1" s="4" t="s">
        <v>97</v>
      </c>
      <c r="J1" s="4" t="s">
        <v>96</v>
      </c>
      <c r="K1" s="4" t="s">
        <v>98</v>
      </c>
      <c r="L1" s="4" t="s">
        <v>2</v>
      </c>
      <c r="M1" s="4" t="s">
        <v>3</v>
      </c>
      <c r="N1" s="4" t="s">
        <v>5</v>
      </c>
      <c r="O1" s="4" t="s">
        <v>7</v>
      </c>
      <c r="P1" s="4" t="s">
        <v>8</v>
      </c>
      <c r="Q1" s="4" t="s">
        <v>11</v>
      </c>
      <c r="R1" s="4" t="s">
        <v>35</v>
      </c>
      <c r="S1" s="4" t="s">
        <v>36</v>
      </c>
      <c r="T1" s="4" t="s">
        <v>91</v>
      </c>
    </row>
    <row r="2" spans="1:20" x14ac:dyDescent="0.25">
      <c r="A2" s="5" t="s">
        <v>90</v>
      </c>
      <c r="B2" s="1" t="s">
        <v>111</v>
      </c>
      <c r="E2" s="4">
        <f>SUM(C2:D2)</f>
        <v>0</v>
      </c>
      <c r="H2" s="4">
        <f>SUM(F2:G2)</f>
        <v>0</v>
      </c>
      <c r="K2" s="4">
        <f>SUM(I2:J2)</f>
        <v>0</v>
      </c>
    </row>
    <row r="3" spans="1:20" x14ac:dyDescent="0.25">
      <c r="A3" s="4" t="s">
        <v>100</v>
      </c>
      <c r="B3" s="4" t="s">
        <v>117</v>
      </c>
      <c r="E3" s="4">
        <f t="shared" ref="E3:E12" si="0">SUM(C3:D3)</f>
        <v>0</v>
      </c>
      <c r="H3" s="4">
        <f t="shared" ref="H3:H11" si="1">SUM(F3:G3)</f>
        <v>0</v>
      </c>
      <c r="K3" s="4">
        <f t="shared" ref="K3:K11" si="2">SUM(I3:J3)</f>
        <v>0</v>
      </c>
    </row>
    <row r="4" spans="1:20" x14ac:dyDescent="0.25">
      <c r="A4" s="5" t="s">
        <v>74</v>
      </c>
      <c r="B4" s="1" t="s">
        <v>113</v>
      </c>
      <c r="E4" s="4">
        <f t="shared" si="0"/>
        <v>0</v>
      </c>
      <c r="H4" s="4">
        <f t="shared" si="1"/>
        <v>0</v>
      </c>
      <c r="K4" s="4">
        <f t="shared" si="2"/>
        <v>0</v>
      </c>
    </row>
    <row r="5" spans="1:20" x14ac:dyDescent="0.25">
      <c r="A5" s="4" t="s">
        <v>47</v>
      </c>
      <c r="B5" s="1" t="s">
        <v>106</v>
      </c>
      <c r="C5" s="4">
        <v>14</v>
      </c>
      <c r="D5" s="4">
        <v>0</v>
      </c>
      <c r="E5" s="4">
        <f t="shared" si="0"/>
        <v>14</v>
      </c>
      <c r="F5" s="4">
        <v>0</v>
      </c>
      <c r="H5" s="4">
        <f t="shared" si="1"/>
        <v>0</v>
      </c>
      <c r="I5" s="4">
        <v>0</v>
      </c>
      <c r="J5" s="4">
        <v>0</v>
      </c>
      <c r="K5" s="4">
        <f t="shared" si="2"/>
        <v>0</v>
      </c>
    </row>
    <row r="6" spans="1:20" x14ac:dyDescent="0.25">
      <c r="A6" s="4" t="s">
        <v>46</v>
      </c>
      <c r="B6" s="1" t="s">
        <v>103</v>
      </c>
      <c r="C6" s="4">
        <v>2</v>
      </c>
      <c r="D6" s="4">
        <v>1</v>
      </c>
      <c r="E6" s="4">
        <f t="shared" si="0"/>
        <v>3</v>
      </c>
      <c r="F6" s="4">
        <v>0</v>
      </c>
      <c r="G6" s="4">
        <v>0</v>
      </c>
      <c r="H6" s="4">
        <f t="shared" si="1"/>
        <v>0</v>
      </c>
      <c r="K6" s="4">
        <f t="shared" si="2"/>
        <v>0</v>
      </c>
      <c r="L6" s="4" t="s">
        <v>128</v>
      </c>
      <c r="M6" s="4" t="s">
        <v>37</v>
      </c>
    </row>
    <row r="7" spans="1:20" x14ac:dyDescent="0.25">
      <c r="A7" s="4" t="s">
        <v>99</v>
      </c>
      <c r="B7" s="1" t="s">
        <v>119</v>
      </c>
      <c r="C7" s="4">
        <v>13</v>
      </c>
      <c r="D7" s="4">
        <v>0</v>
      </c>
      <c r="E7" s="4">
        <f t="shared" si="0"/>
        <v>13</v>
      </c>
      <c r="F7" s="4">
        <v>1</v>
      </c>
      <c r="H7" s="4">
        <f t="shared" si="1"/>
        <v>1</v>
      </c>
      <c r="I7" s="4">
        <v>11</v>
      </c>
      <c r="J7" s="4">
        <v>0</v>
      </c>
      <c r="K7" s="4">
        <f t="shared" si="2"/>
        <v>11</v>
      </c>
    </row>
    <row r="8" spans="1:20" x14ac:dyDescent="0.25">
      <c r="A8" s="4" t="s">
        <v>101</v>
      </c>
      <c r="B8" s="1" t="s">
        <v>118</v>
      </c>
      <c r="C8" s="4">
        <v>1</v>
      </c>
      <c r="D8" s="4">
        <v>0</v>
      </c>
      <c r="E8" s="4">
        <f t="shared" si="0"/>
        <v>1</v>
      </c>
      <c r="F8" s="4">
        <v>0</v>
      </c>
      <c r="H8" s="4">
        <f t="shared" si="1"/>
        <v>0</v>
      </c>
      <c r="I8" s="4">
        <v>0</v>
      </c>
      <c r="J8" s="4">
        <v>0</v>
      </c>
      <c r="K8" s="4">
        <f t="shared" si="2"/>
        <v>0</v>
      </c>
    </row>
    <row r="9" spans="1:20" x14ac:dyDescent="0.25">
      <c r="A9" s="4" t="s">
        <v>84</v>
      </c>
      <c r="B9" s="1" t="s">
        <v>112</v>
      </c>
      <c r="C9" s="4">
        <v>1</v>
      </c>
      <c r="D9" s="4">
        <v>1</v>
      </c>
      <c r="E9" s="4">
        <f t="shared" si="0"/>
        <v>2</v>
      </c>
      <c r="F9" s="4">
        <v>0</v>
      </c>
      <c r="H9" s="4">
        <f t="shared" si="1"/>
        <v>0</v>
      </c>
      <c r="I9" s="4">
        <v>0</v>
      </c>
      <c r="J9" s="4">
        <v>1</v>
      </c>
      <c r="K9" s="4">
        <f t="shared" si="2"/>
        <v>1</v>
      </c>
    </row>
    <row r="10" spans="1:20" x14ac:dyDescent="0.25">
      <c r="A10" s="4" t="s">
        <v>48</v>
      </c>
      <c r="B10" s="1" t="s">
        <v>105</v>
      </c>
      <c r="C10" s="4">
        <v>0</v>
      </c>
      <c r="D10" s="4">
        <v>0</v>
      </c>
      <c r="E10" s="4">
        <f t="shared" si="0"/>
        <v>0</v>
      </c>
      <c r="H10" s="4">
        <f t="shared" si="1"/>
        <v>0</v>
      </c>
      <c r="K10" s="4">
        <f t="shared" si="2"/>
        <v>0</v>
      </c>
    </row>
    <row r="11" spans="1:20" x14ac:dyDescent="0.25">
      <c r="A11" s="4" t="s">
        <v>49</v>
      </c>
      <c r="B11" s="1" t="s">
        <v>108</v>
      </c>
      <c r="C11" s="4">
        <v>64</v>
      </c>
      <c r="D11" s="4">
        <v>6</v>
      </c>
      <c r="E11" s="4">
        <f t="shared" si="0"/>
        <v>70</v>
      </c>
      <c r="F11" s="4">
        <v>5</v>
      </c>
      <c r="G11" s="4">
        <v>2</v>
      </c>
      <c r="H11" s="4">
        <f t="shared" si="1"/>
        <v>7</v>
      </c>
      <c r="K11" s="4">
        <f t="shared" si="2"/>
        <v>0</v>
      </c>
      <c r="L11" s="4" t="s">
        <v>131</v>
      </c>
      <c r="M11" s="4" t="s">
        <v>93</v>
      </c>
      <c r="N11" s="4" t="s">
        <v>19</v>
      </c>
    </row>
    <row r="12" spans="1:20" x14ac:dyDescent="0.25">
      <c r="A12" s="5" t="s">
        <v>81</v>
      </c>
      <c r="B12" s="1" t="s">
        <v>107</v>
      </c>
      <c r="C12" s="4">
        <v>41</v>
      </c>
      <c r="D12" s="4">
        <v>2</v>
      </c>
      <c r="E12" s="4">
        <f t="shared" si="0"/>
        <v>43</v>
      </c>
      <c r="L12" s="4" t="s">
        <v>16</v>
      </c>
      <c r="M12" s="4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D76E-4D9A-498C-A518-D247E2B9DE5A}">
  <dimension ref="A1:T12"/>
  <sheetViews>
    <sheetView topLeftCell="G1" workbookViewId="0">
      <selection activeCell="L11" sqref="L11"/>
    </sheetView>
  </sheetViews>
  <sheetFormatPr defaultRowHeight="15" x14ac:dyDescent="0.25"/>
  <cols>
    <col min="1" max="1" width="43.7109375" style="4" customWidth="1"/>
    <col min="2" max="2" width="26" style="4" customWidth="1"/>
    <col min="3" max="3" width="33.42578125" style="4" customWidth="1"/>
    <col min="4" max="5" width="32" style="4" customWidth="1"/>
    <col min="6" max="6" width="37.42578125" style="4" customWidth="1"/>
    <col min="7" max="8" width="37.85546875" style="4" customWidth="1"/>
    <col min="9" max="9" width="34.28515625" style="4" customWidth="1"/>
    <col min="10" max="11" width="31.85546875" style="4" customWidth="1"/>
    <col min="12" max="12" width="32.42578125" style="4" customWidth="1"/>
    <col min="13" max="14" width="9.140625" style="4"/>
    <col min="15" max="15" width="11.85546875" style="4" customWidth="1"/>
    <col min="16" max="16384" width="9.140625" style="4"/>
  </cols>
  <sheetData>
    <row r="1" spans="1:20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94</v>
      </c>
      <c r="G1" s="4" t="s">
        <v>95</v>
      </c>
      <c r="H1" s="4" t="s">
        <v>77</v>
      </c>
      <c r="I1" s="4" t="s">
        <v>97</v>
      </c>
      <c r="J1" s="4" t="s">
        <v>96</v>
      </c>
      <c r="K1" s="4" t="s">
        <v>98</v>
      </c>
      <c r="L1" s="4" t="s">
        <v>2</v>
      </c>
      <c r="M1" s="4" t="s">
        <v>3</v>
      </c>
      <c r="N1" s="4" t="s">
        <v>5</v>
      </c>
      <c r="O1" s="4" t="s">
        <v>7</v>
      </c>
      <c r="P1" s="4" t="s">
        <v>8</v>
      </c>
      <c r="Q1" s="4" t="s">
        <v>11</v>
      </c>
      <c r="R1" s="4" t="s">
        <v>35</v>
      </c>
      <c r="S1" s="4" t="s">
        <v>36</v>
      </c>
      <c r="T1" s="4" t="s">
        <v>91</v>
      </c>
    </row>
    <row r="2" spans="1:20" x14ac:dyDescent="0.25">
      <c r="A2" s="5" t="s">
        <v>90</v>
      </c>
      <c r="B2" s="1" t="s">
        <v>111</v>
      </c>
      <c r="E2" s="4">
        <f>SUM(C2:D2)</f>
        <v>0</v>
      </c>
      <c r="H2" s="4">
        <f>SUM(F2:G2)</f>
        <v>0</v>
      </c>
      <c r="J2" s="4">
        <v>0</v>
      </c>
      <c r="K2" s="4">
        <f>SUM(I2:J2)</f>
        <v>0</v>
      </c>
    </row>
    <row r="3" spans="1:20" x14ac:dyDescent="0.25">
      <c r="A3" s="4" t="s">
        <v>100</v>
      </c>
      <c r="B3" s="4" t="s">
        <v>117</v>
      </c>
      <c r="E3" s="4">
        <f t="shared" ref="E3:E12" si="0">SUM(C3:D3)</f>
        <v>0</v>
      </c>
      <c r="H3" s="4">
        <f t="shared" ref="H3:H11" si="1">SUM(F3:G3)</f>
        <v>0</v>
      </c>
      <c r="J3" s="4">
        <v>0</v>
      </c>
      <c r="K3" s="4">
        <f t="shared" ref="K3:K11" si="2">SUM(I3:J3)</f>
        <v>0</v>
      </c>
    </row>
    <row r="4" spans="1:20" x14ac:dyDescent="0.25">
      <c r="A4" s="5" t="s">
        <v>74</v>
      </c>
      <c r="B4" s="1" t="s">
        <v>113</v>
      </c>
      <c r="E4" s="4">
        <f t="shared" si="0"/>
        <v>0</v>
      </c>
      <c r="H4" s="4">
        <f t="shared" si="1"/>
        <v>0</v>
      </c>
      <c r="J4" s="4">
        <v>0</v>
      </c>
      <c r="K4" s="4">
        <f t="shared" si="2"/>
        <v>0</v>
      </c>
    </row>
    <row r="5" spans="1:20" x14ac:dyDescent="0.25">
      <c r="A5" s="4" t="s">
        <v>47</v>
      </c>
      <c r="B5" s="1" t="s">
        <v>106</v>
      </c>
      <c r="C5" s="4">
        <v>21</v>
      </c>
      <c r="D5" s="4">
        <v>0</v>
      </c>
      <c r="E5" s="4">
        <f t="shared" si="0"/>
        <v>21</v>
      </c>
      <c r="F5" s="4">
        <v>0</v>
      </c>
      <c r="H5" s="4">
        <f t="shared" si="1"/>
        <v>0</v>
      </c>
      <c r="I5" s="4">
        <v>0</v>
      </c>
      <c r="J5" s="4">
        <v>0</v>
      </c>
      <c r="K5" s="4">
        <f t="shared" si="2"/>
        <v>0</v>
      </c>
    </row>
    <row r="6" spans="1:20" x14ac:dyDescent="0.25">
      <c r="A6" s="4" t="s">
        <v>46</v>
      </c>
      <c r="B6" s="1" t="s">
        <v>103</v>
      </c>
      <c r="C6" s="4">
        <v>5</v>
      </c>
      <c r="D6" s="4">
        <v>0</v>
      </c>
      <c r="E6" s="4">
        <f t="shared" si="0"/>
        <v>5</v>
      </c>
      <c r="F6" s="4">
        <v>0</v>
      </c>
      <c r="G6" s="4">
        <v>0</v>
      </c>
      <c r="H6" s="4">
        <f t="shared" si="1"/>
        <v>0</v>
      </c>
      <c r="I6" s="4">
        <v>0</v>
      </c>
      <c r="J6" s="4">
        <v>0</v>
      </c>
      <c r="K6" s="4">
        <f t="shared" si="2"/>
        <v>0</v>
      </c>
      <c r="L6" s="4" t="s">
        <v>128</v>
      </c>
      <c r="M6" s="4" t="s">
        <v>37</v>
      </c>
    </row>
    <row r="7" spans="1:20" x14ac:dyDescent="0.25">
      <c r="A7" s="4" t="s">
        <v>99</v>
      </c>
      <c r="B7" s="1" t="s">
        <v>119</v>
      </c>
      <c r="C7" s="4">
        <v>4</v>
      </c>
      <c r="D7" s="4">
        <v>0</v>
      </c>
      <c r="E7" s="4">
        <f t="shared" si="0"/>
        <v>4</v>
      </c>
      <c r="F7" s="4">
        <v>3</v>
      </c>
      <c r="H7" s="4">
        <f t="shared" si="1"/>
        <v>3</v>
      </c>
      <c r="I7" s="4">
        <v>7</v>
      </c>
      <c r="J7" s="4">
        <v>0</v>
      </c>
      <c r="K7" s="4">
        <f t="shared" si="2"/>
        <v>7</v>
      </c>
    </row>
    <row r="8" spans="1:20" x14ac:dyDescent="0.25">
      <c r="A8" s="4" t="s">
        <v>101</v>
      </c>
      <c r="B8" s="1" t="s">
        <v>118</v>
      </c>
      <c r="C8" s="4">
        <v>1</v>
      </c>
      <c r="D8" s="4">
        <v>0</v>
      </c>
      <c r="E8" s="4">
        <f t="shared" si="0"/>
        <v>1</v>
      </c>
      <c r="F8" s="4">
        <v>0</v>
      </c>
      <c r="H8" s="4">
        <f t="shared" si="1"/>
        <v>0</v>
      </c>
      <c r="I8" s="4">
        <v>0</v>
      </c>
      <c r="J8" s="4">
        <v>0</v>
      </c>
      <c r="K8" s="4">
        <f t="shared" si="2"/>
        <v>0</v>
      </c>
    </row>
    <row r="9" spans="1:20" x14ac:dyDescent="0.25">
      <c r="A9" s="4" t="s">
        <v>84</v>
      </c>
      <c r="B9" s="1" t="s">
        <v>112</v>
      </c>
      <c r="C9" s="4">
        <v>9</v>
      </c>
      <c r="D9" s="4">
        <v>6</v>
      </c>
      <c r="E9" s="4">
        <f t="shared" si="0"/>
        <v>15</v>
      </c>
      <c r="F9" s="4">
        <v>0</v>
      </c>
      <c r="G9" s="4">
        <v>0</v>
      </c>
      <c r="H9" s="4">
        <f t="shared" si="1"/>
        <v>0</v>
      </c>
      <c r="I9" s="4">
        <v>0</v>
      </c>
      <c r="J9" s="4">
        <v>0</v>
      </c>
      <c r="K9" s="4">
        <f t="shared" si="2"/>
        <v>0</v>
      </c>
    </row>
    <row r="10" spans="1:20" x14ac:dyDescent="0.25">
      <c r="A10" s="4" t="s">
        <v>48</v>
      </c>
      <c r="B10" s="1" t="s">
        <v>105</v>
      </c>
      <c r="C10" s="4">
        <v>1</v>
      </c>
      <c r="D10" s="4">
        <v>0</v>
      </c>
      <c r="E10" s="4">
        <f t="shared" si="0"/>
        <v>1</v>
      </c>
      <c r="H10" s="4">
        <f t="shared" si="1"/>
        <v>0</v>
      </c>
      <c r="J10" s="4">
        <v>0</v>
      </c>
      <c r="K10" s="4">
        <f t="shared" si="2"/>
        <v>0</v>
      </c>
    </row>
    <row r="11" spans="1:20" x14ac:dyDescent="0.25">
      <c r="A11" s="4" t="s">
        <v>49</v>
      </c>
      <c r="B11" s="1" t="s">
        <v>108</v>
      </c>
      <c r="C11" s="4">
        <v>95</v>
      </c>
      <c r="D11" s="4">
        <v>8</v>
      </c>
      <c r="E11" s="4">
        <f t="shared" si="0"/>
        <v>103</v>
      </c>
      <c r="F11" s="4">
        <v>5</v>
      </c>
      <c r="G11" s="4">
        <v>2</v>
      </c>
      <c r="H11" s="4">
        <f t="shared" si="1"/>
        <v>7</v>
      </c>
      <c r="I11" s="4">
        <v>0</v>
      </c>
      <c r="J11" s="4">
        <v>0</v>
      </c>
      <c r="K11" s="4">
        <f t="shared" si="2"/>
        <v>0</v>
      </c>
      <c r="L11" s="4" t="s">
        <v>130</v>
      </c>
      <c r="M11" s="4" t="s">
        <v>131</v>
      </c>
      <c r="O11" s="4" t="s">
        <v>93</v>
      </c>
      <c r="P11" s="4" t="s">
        <v>19</v>
      </c>
    </row>
    <row r="12" spans="1:20" x14ac:dyDescent="0.25">
      <c r="A12" s="5" t="s">
        <v>81</v>
      </c>
      <c r="B12" s="1" t="s">
        <v>107</v>
      </c>
      <c r="C12" s="4">
        <v>9</v>
      </c>
      <c r="D12" s="4">
        <v>0</v>
      </c>
      <c r="E12" s="4">
        <f t="shared" si="0"/>
        <v>9</v>
      </c>
      <c r="L12" s="4" t="s">
        <v>15</v>
      </c>
      <c r="M12" s="4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201D-3511-49E4-82E5-F19DAF3BA1E0}">
  <dimension ref="A1:Q12"/>
  <sheetViews>
    <sheetView topLeftCell="D1" workbookViewId="0">
      <selection activeCell="H12" sqref="H12:J12"/>
    </sheetView>
  </sheetViews>
  <sheetFormatPr defaultRowHeight="15" x14ac:dyDescent="0.25"/>
  <cols>
    <col min="1" max="1" width="43.7109375" style="4" customWidth="1"/>
    <col min="2" max="2" width="26" style="4" customWidth="1"/>
    <col min="3" max="3" width="33.42578125" style="4" customWidth="1"/>
    <col min="4" max="5" width="32" style="4" customWidth="1"/>
    <col min="6" max="6" width="37.85546875" style="4" customWidth="1"/>
    <col min="7" max="7" width="31.85546875" style="4" customWidth="1"/>
    <col min="8" max="8" width="32.42578125" style="4" customWidth="1"/>
    <col min="9" max="10" width="9.140625" style="4"/>
    <col min="11" max="11" width="11.85546875" style="4" customWidth="1"/>
    <col min="12" max="16384" width="9.140625" style="4"/>
  </cols>
  <sheetData>
    <row r="1" spans="1:17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77</v>
      </c>
      <c r="G1" s="4" t="s">
        <v>98</v>
      </c>
      <c r="H1" s="4" t="s">
        <v>2</v>
      </c>
      <c r="I1" s="4" t="s">
        <v>3</v>
      </c>
      <c r="J1" s="4" t="s">
        <v>5</v>
      </c>
      <c r="K1" s="4" t="s">
        <v>7</v>
      </c>
      <c r="L1" s="4" t="s">
        <v>8</v>
      </c>
      <c r="M1" s="4" t="s">
        <v>11</v>
      </c>
      <c r="N1" s="4" t="s">
        <v>35</v>
      </c>
      <c r="O1" s="4" t="s">
        <v>36</v>
      </c>
      <c r="P1" s="4" t="s">
        <v>91</v>
      </c>
      <c r="Q1" s="4" t="s">
        <v>127</v>
      </c>
    </row>
    <row r="2" spans="1:17" x14ac:dyDescent="0.25">
      <c r="A2" s="5" t="s">
        <v>90</v>
      </c>
      <c r="B2" s="1" t="s">
        <v>111</v>
      </c>
    </row>
    <row r="3" spans="1:17" x14ac:dyDescent="0.25">
      <c r="A3" s="4" t="s">
        <v>100</v>
      </c>
      <c r="B3" s="4" t="s">
        <v>117</v>
      </c>
    </row>
    <row r="4" spans="1:17" x14ac:dyDescent="0.25">
      <c r="A4" s="5" t="s">
        <v>74</v>
      </c>
      <c r="B4" s="1" t="s">
        <v>113</v>
      </c>
    </row>
    <row r="5" spans="1:17" x14ac:dyDescent="0.25">
      <c r="A5" s="4" t="s">
        <v>47</v>
      </c>
      <c r="B5" s="1" t="s">
        <v>106</v>
      </c>
      <c r="C5" s="4">
        <v>1</v>
      </c>
      <c r="E5" s="4">
        <f t="shared" ref="E5:E12" si="0">SUM(C5:D5)</f>
        <v>1</v>
      </c>
      <c r="H5" s="4" t="s">
        <v>24</v>
      </c>
    </row>
    <row r="6" spans="1:17" x14ac:dyDescent="0.25">
      <c r="A6" s="4" t="s">
        <v>46</v>
      </c>
      <c r="B6" s="1" t="s">
        <v>103</v>
      </c>
      <c r="C6" s="4">
        <v>2</v>
      </c>
      <c r="E6" s="4">
        <f t="shared" si="0"/>
        <v>2</v>
      </c>
      <c r="G6" s="4">
        <v>2</v>
      </c>
      <c r="H6" s="4" t="s">
        <v>32</v>
      </c>
    </row>
    <row r="7" spans="1:17" x14ac:dyDescent="0.25">
      <c r="A7" s="4" t="s">
        <v>99</v>
      </c>
      <c r="B7" s="1" t="s">
        <v>119</v>
      </c>
    </row>
    <row r="8" spans="1:17" x14ac:dyDescent="0.25">
      <c r="A8" s="4" t="s">
        <v>101</v>
      </c>
      <c r="B8" s="1" t="s">
        <v>118</v>
      </c>
    </row>
    <row r="9" spans="1:17" x14ac:dyDescent="0.25">
      <c r="A9" s="4" t="s">
        <v>84</v>
      </c>
      <c r="B9" s="1" t="s">
        <v>112</v>
      </c>
      <c r="C9" s="4">
        <v>9</v>
      </c>
      <c r="E9" s="4">
        <f t="shared" si="0"/>
        <v>9</v>
      </c>
    </row>
    <row r="10" spans="1:17" x14ac:dyDescent="0.25">
      <c r="A10" s="4" t="s">
        <v>48</v>
      </c>
      <c r="B10" s="1" t="s">
        <v>105</v>
      </c>
      <c r="C10" s="4">
        <v>1</v>
      </c>
      <c r="E10" s="4">
        <f t="shared" si="0"/>
        <v>1</v>
      </c>
      <c r="H10" s="6" t="s">
        <v>126</v>
      </c>
    </row>
    <row r="11" spans="1:17" x14ac:dyDescent="0.25">
      <c r="A11" s="4" t="s">
        <v>49</v>
      </c>
      <c r="B11" s="1" t="s">
        <v>108</v>
      </c>
      <c r="C11" s="6">
        <v>194</v>
      </c>
      <c r="D11" s="6">
        <v>3</v>
      </c>
      <c r="E11" s="4">
        <f t="shared" si="0"/>
        <v>197</v>
      </c>
      <c r="F11" s="4">
        <v>30</v>
      </c>
      <c r="H11" s="6" t="s">
        <v>19</v>
      </c>
      <c r="I11" s="6" t="s">
        <v>131</v>
      </c>
      <c r="J11" s="6" t="s">
        <v>130</v>
      </c>
      <c r="K11" s="7" t="s">
        <v>93</v>
      </c>
      <c r="L11" s="7"/>
      <c r="M11" s="7"/>
      <c r="N11" s="7"/>
      <c r="O11" s="7"/>
      <c r="P11" s="7"/>
      <c r="Q11" s="7"/>
    </row>
    <row r="12" spans="1:17" x14ac:dyDescent="0.25">
      <c r="A12" s="5" t="s">
        <v>81</v>
      </c>
      <c r="B12" s="1" t="s">
        <v>107</v>
      </c>
      <c r="C12" s="4">
        <v>16</v>
      </c>
      <c r="E12" s="4">
        <f t="shared" si="0"/>
        <v>16</v>
      </c>
      <c r="H12" s="4" t="s">
        <v>15</v>
      </c>
      <c r="I12" s="6" t="s">
        <v>16</v>
      </c>
      <c r="J12" s="4" t="s">
        <v>50</v>
      </c>
    </row>
  </sheetData>
  <phoneticPr fontId="1" type="noConversion"/>
  <hyperlinks>
    <hyperlink ref="A4" r:id="rId1" display="https://www.usgs.gov/office-of-science-quality-and-integrity/fundamental-science-practices/information-quality-usgs-peer-review-agenda" xr:uid="{08BE9C63-F0DE-4A5F-BE9B-A36C8E39E74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1BE7-C1F4-49C0-A12A-557ECCB2C1AC}">
  <dimension ref="A1:Q12"/>
  <sheetViews>
    <sheetView tabSelected="1" workbookViewId="0">
      <selection activeCell="E18" sqref="E18"/>
    </sheetView>
  </sheetViews>
  <sheetFormatPr defaultRowHeight="15" x14ac:dyDescent="0.25"/>
  <cols>
    <col min="1" max="1" width="43.7109375" style="4" customWidth="1"/>
    <col min="2" max="2" width="26" style="4" customWidth="1"/>
    <col min="3" max="3" width="33.42578125" style="4" customWidth="1"/>
    <col min="4" max="5" width="32" style="4" customWidth="1"/>
    <col min="6" max="6" width="37.85546875" style="4" customWidth="1"/>
    <col min="7" max="7" width="31.85546875" style="4" customWidth="1"/>
    <col min="8" max="8" width="32.42578125" style="4" customWidth="1"/>
    <col min="9" max="10" width="9.140625" style="4"/>
    <col min="11" max="11" width="11.85546875" style="4" customWidth="1"/>
    <col min="12" max="16384" width="9.140625" style="4"/>
  </cols>
  <sheetData>
    <row r="1" spans="1:17" x14ac:dyDescent="0.25">
      <c r="A1" s="4" t="s">
        <v>120</v>
      </c>
      <c r="B1" s="4" t="s">
        <v>102</v>
      </c>
      <c r="C1" s="4" t="s">
        <v>92</v>
      </c>
      <c r="D1" s="4" t="s">
        <v>76</v>
      </c>
      <c r="E1" s="4" t="s">
        <v>75</v>
      </c>
      <c r="F1" s="4" t="s">
        <v>77</v>
      </c>
      <c r="G1" s="4" t="s">
        <v>98</v>
      </c>
      <c r="H1" s="4" t="s">
        <v>2</v>
      </c>
      <c r="I1" s="4" t="s">
        <v>3</v>
      </c>
      <c r="J1" s="4" t="s">
        <v>5</v>
      </c>
      <c r="K1" s="4" t="s">
        <v>7</v>
      </c>
      <c r="L1" s="4" t="s">
        <v>8</v>
      </c>
      <c r="M1" s="4" t="s">
        <v>11</v>
      </c>
      <c r="N1" s="4" t="s">
        <v>35</v>
      </c>
      <c r="O1" s="4" t="s">
        <v>36</v>
      </c>
      <c r="P1" s="4" t="s">
        <v>91</v>
      </c>
      <c r="Q1" s="4" t="s">
        <v>127</v>
      </c>
    </row>
    <row r="2" spans="1:17" x14ac:dyDescent="0.25">
      <c r="A2" s="5" t="s">
        <v>90</v>
      </c>
      <c r="B2" s="1" t="s">
        <v>111</v>
      </c>
      <c r="E2" s="4">
        <f>SUM(C2:D2)</f>
        <v>0</v>
      </c>
    </row>
    <row r="3" spans="1:17" x14ac:dyDescent="0.25">
      <c r="A3" s="4" t="s">
        <v>100</v>
      </c>
      <c r="B3" s="4" t="s">
        <v>117</v>
      </c>
      <c r="E3" s="4">
        <f t="shared" ref="E3:E22" si="0">SUM(C3:D3)</f>
        <v>0</v>
      </c>
    </row>
    <row r="4" spans="1:17" x14ac:dyDescent="0.25">
      <c r="A4" s="5" t="s">
        <v>74</v>
      </c>
      <c r="B4" s="1" t="s">
        <v>113</v>
      </c>
      <c r="E4" s="4">
        <f t="shared" si="0"/>
        <v>0</v>
      </c>
    </row>
    <row r="5" spans="1:17" x14ac:dyDescent="0.25">
      <c r="A5" s="4" t="s">
        <v>47</v>
      </c>
      <c r="B5" s="1" t="s">
        <v>106</v>
      </c>
      <c r="C5" s="4">
        <v>27</v>
      </c>
      <c r="D5" s="4">
        <v>0</v>
      </c>
      <c r="E5" s="4">
        <f t="shared" si="0"/>
        <v>27</v>
      </c>
      <c r="F5" s="4">
        <v>1</v>
      </c>
      <c r="G5" s="4">
        <v>0</v>
      </c>
      <c r="H5" s="8" t="s">
        <v>133</v>
      </c>
    </row>
    <row r="6" spans="1:17" x14ac:dyDescent="0.25">
      <c r="A6" s="4" t="s">
        <v>46</v>
      </c>
      <c r="B6" s="1" t="s">
        <v>103</v>
      </c>
      <c r="E6" s="4">
        <f t="shared" si="0"/>
        <v>0</v>
      </c>
    </row>
    <row r="7" spans="1:17" x14ac:dyDescent="0.25">
      <c r="A7" s="4" t="s">
        <v>99</v>
      </c>
      <c r="B7" s="1" t="s">
        <v>119</v>
      </c>
      <c r="E7" s="4">
        <f t="shared" si="0"/>
        <v>0</v>
      </c>
    </row>
    <row r="8" spans="1:17" x14ac:dyDescent="0.25">
      <c r="A8" s="4" t="s">
        <v>101</v>
      </c>
      <c r="B8" s="1" t="s">
        <v>118</v>
      </c>
      <c r="E8" s="4">
        <f t="shared" si="0"/>
        <v>0</v>
      </c>
    </row>
    <row r="9" spans="1:17" x14ac:dyDescent="0.25">
      <c r="A9" s="4" t="s">
        <v>84</v>
      </c>
      <c r="B9" s="1" t="s">
        <v>112</v>
      </c>
      <c r="C9" s="4">
        <v>5</v>
      </c>
      <c r="D9" s="4">
        <v>1</v>
      </c>
      <c r="E9" s="4">
        <f t="shared" si="0"/>
        <v>6</v>
      </c>
      <c r="F9" s="4">
        <v>0</v>
      </c>
      <c r="G9" s="4">
        <v>0</v>
      </c>
    </row>
    <row r="10" spans="1:17" x14ac:dyDescent="0.25">
      <c r="A10" s="4" t="s">
        <v>48</v>
      </c>
      <c r="B10" s="1" t="s">
        <v>105</v>
      </c>
      <c r="C10" s="4">
        <v>2</v>
      </c>
      <c r="D10" s="4">
        <v>0</v>
      </c>
      <c r="E10" s="4">
        <f t="shared" si="0"/>
        <v>2</v>
      </c>
      <c r="F10" s="4">
        <v>0</v>
      </c>
      <c r="G10" s="4">
        <v>0</v>
      </c>
      <c r="H10" s="6" t="s">
        <v>132</v>
      </c>
    </row>
    <row r="11" spans="1:17" x14ac:dyDescent="0.25">
      <c r="A11" s="4" t="s">
        <v>49</v>
      </c>
      <c r="B11" s="1" t="s">
        <v>108</v>
      </c>
      <c r="C11" s="6">
        <v>20</v>
      </c>
      <c r="D11" s="6">
        <v>2</v>
      </c>
      <c r="E11" s="4">
        <f t="shared" si="0"/>
        <v>22</v>
      </c>
      <c r="F11" s="4">
        <v>8</v>
      </c>
      <c r="G11" s="4">
        <v>0</v>
      </c>
      <c r="H11" s="4" t="s">
        <v>131</v>
      </c>
      <c r="I11" s="4" t="s">
        <v>93</v>
      </c>
      <c r="J11" s="4" t="s">
        <v>19</v>
      </c>
      <c r="K11" s="4" t="s">
        <v>130</v>
      </c>
      <c r="L11" s="7"/>
      <c r="M11" s="7"/>
      <c r="N11" s="7"/>
      <c r="O11" s="7"/>
      <c r="P11" s="7"/>
      <c r="Q11" s="7"/>
    </row>
    <row r="12" spans="1:17" x14ac:dyDescent="0.25">
      <c r="A12" s="5" t="s">
        <v>81</v>
      </c>
      <c r="B12" s="1" t="s">
        <v>107</v>
      </c>
      <c r="C12" s="4">
        <v>13</v>
      </c>
      <c r="E12" s="4">
        <f t="shared" si="0"/>
        <v>13</v>
      </c>
      <c r="H12" s="4" t="s">
        <v>15</v>
      </c>
      <c r="I12" s="6" t="s">
        <v>16</v>
      </c>
      <c r="J12" s="4" t="s">
        <v>50</v>
      </c>
    </row>
  </sheetData>
  <hyperlinks>
    <hyperlink ref="A4" r:id="rId1" display="https://www.usgs.gov/office-of-science-quality-and-integrity/fundamental-science-practices/information-quality-usgs-peer-review-agenda" xr:uid="{16D1D40E-C8A7-4CDD-9859-D38630AABD7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CC71D-2608-40F7-81C7-2110203A3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FY06</vt:lpstr>
      <vt:lpstr>FY07</vt:lpstr>
      <vt:lpstr>FY08</vt:lpstr>
      <vt:lpstr>FY09</vt:lpstr>
      <vt:lpstr>FY10</vt:lpstr>
      <vt:lpstr>FY11</vt:lpstr>
      <vt:lpstr>FY12</vt:lpstr>
      <vt:lpstr>FY13</vt:lpstr>
      <vt:lpstr>FY14</vt:lpstr>
      <vt:lpstr>FY15</vt:lpstr>
      <vt:lpstr>FY16</vt:lpstr>
      <vt:lpstr>FY17</vt:lpstr>
      <vt:lpstr>FY18</vt:lpstr>
      <vt:lpstr>FY19</vt:lpstr>
      <vt:lpstr>FY20</vt:lpstr>
      <vt:lpstr>FY21</vt:lpstr>
      <vt:lpstr>FY22</vt:lpstr>
      <vt:lpstr>FY23</vt:lpstr>
      <vt:lpstr>FY24</vt:lpstr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Jamaal T. EOP/OMB (Intern)</dc:creator>
  <cp:lastModifiedBy>Sasso, Alan F. EOP/OMB</cp:lastModifiedBy>
  <dcterms:created xsi:type="dcterms:W3CDTF">2024-10-10T13:28:59Z</dcterms:created>
  <dcterms:modified xsi:type="dcterms:W3CDTF">2026-06-29T14:54:52Z</dcterms:modified>
</cp:coreProperties>
</file>